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ldron/Library/Mobile Documents/com~apple~CloudDocs/Bellevue College/Spring 2026/Physics 3/"/>
    </mc:Choice>
  </mc:AlternateContent>
  <xr:revisionPtr revIDLastSave="0" documentId="13_ncr:1_{75E76660-0E48-E440-BC9A-8A4E739CA14B}" xr6:coauthVersionLast="47" xr6:coauthVersionMax="47" xr10:uidLastSave="{00000000-0000-0000-0000-000000000000}"/>
  <bookViews>
    <workbookView xWindow="0" yWindow="660" windowWidth="25600" windowHeight="15980" xr2:uid="{2E7FB2B5-9998-47FF-A241-D081B042E364}"/>
  </bookViews>
  <sheets>
    <sheet name="Sheet1" sheetId="1" r:id="rId1"/>
    <sheet name="Vt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L4" i="1"/>
  <c r="AL5" i="1"/>
  <c r="AL6" i="1"/>
  <c r="AL7" i="1"/>
  <c r="AL8" i="1"/>
  <c r="AL9" i="1"/>
  <c r="AL10" i="1"/>
  <c r="AL11" i="1"/>
  <c r="AL12" i="1"/>
  <c r="AL13" i="1"/>
  <c r="AM3" i="1"/>
  <c r="AL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J3" i="1"/>
  <c r="AI3" i="1"/>
  <c r="B144" i="1"/>
  <c r="C144" i="1"/>
  <c r="D144" i="1" s="1"/>
  <c r="B145" i="1"/>
  <c r="E145" i="1" s="1"/>
  <c r="C145" i="1"/>
  <c r="D145" i="1"/>
  <c r="B146" i="1"/>
  <c r="C146" i="1"/>
  <c r="D146" i="1"/>
  <c r="B147" i="1"/>
  <c r="C147" i="1"/>
  <c r="D147" i="1" s="1"/>
  <c r="B148" i="1"/>
  <c r="C148" i="1"/>
  <c r="D148" i="1"/>
  <c r="A15" i="2"/>
  <c r="B15" i="2" s="1"/>
  <c r="B14" i="2"/>
  <c r="A14" i="2"/>
  <c r="A12" i="2"/>
  <c r="A13" i="2" s="1"/>
  <c r="B13" i="2" s="1"/>
  <c r="B11" i="2"/>
  <c r="A11" i="2"/>
  <c r="B10" i="2"/>
  <c r="A10" i="2"/>
  <c r="C131" i="1"/>
  <c r="C130" i="1"/>
  <c r="J113" i="1"/>
  <c r="E113" i="1" s="1"/>
  <c r="J114" i="1"/>
  <c r="E114" i="1" s="1"/>
  <c r="J115" i="1"/>
  <c r="E115" i="1" s="1"/>
  <c r="B127" i="1"/>
  <c r="C127" i="1" s="1"/>
  <c r="D127" i="1" s="1"/>
  <c r="E127" i="1" s="1"/>
  <c r="B126" i="1"/>
  <c r="C126" i="1" s="1"/>
  <c r="D126" i="1" s="1"/>
  <c r="E126" i="1" s="1"/>
  <c r="B125" i="1"/>
  <c r="C125" i="1" s="1"/>
  <c r="B124" i="1"/>
  <c r="C124" i="1" s="1"/>
  <c r="C123" i="1"/>
  <c r="B123" i="1"/>
  <c r="D114" i="1"/>
  <c r="D115" i="1"/>
  <c r="D116" i="1"/>
  <c r="D117" i="1"/>
  <c r="D113" i="1"/>
  <c r="E117" i="1"/>
  <c r="E116" i="1"/>
  <c r="J117" i="1"/>
  <c r="J116" i="1"/>
  <c r="I117" i="1"/>
  <c r="I116" i="1"/>
  <c r="I115" i="1"/>
  <c r="I114" i="1"/>
  <c r="I113" i="1"/>
  <c r="M107" i="1"/>
  <c r="B114" i="1"/>
  <c r="B115" i="1"/>
  <c r="B116" i="1"/>
  <c r="B117" i="1"/>
  <c r="B113" i="1"/>
  <c r="M102" i="1"/>
  <c r="N104" i="1"/>
  <c r="M104" i="1"/>
  <c r="D106" i="1"/>
  <c r="E105" i="1"/>
  <c r="G104" i="1"/>
  <c r="G103" i="1"/>
  <c r="E103" i="1"/>
  <c r="G102" i="1"/>
  <c r="F102" i="1"/>
  <c r="L82" i="1"/>
  <c r="F106" i="1" s="1"/>
  <c r="L27" i="1"/>
  <c r="F103" i="1" s="1"/>
  <c r="O82" i="1"/>
  <c r="G106" i="1" s="1"/>
  <c r="I82" i="1"/>
  <c r="E106" i="1" s="1"/>
  <c r="C82" i="1"/>
  <c r="C106" i="1" s="1"/>
  <c r="O64" i="1"/>
  <c r="G105" i="1" s="1"/>
  <c r="L64" i="1"/>
  <c r="F105" i="1" s="1"/>
  <c r="F64" i="1"/>
  <c r="D105" i="1" s="1"/>
  <c r="C64" i="1"/>
  <c r="C105" i="1" s="1"/>
  <c r="H105" i="1" s="1"/>
  <c r="L46" i="1"/>
  <c r="F104" i="1" s="1"/>
  <c r="I46" i="1"/>
  <c r="E104" i="1" s="1"/>
  <c r="F46" i="1"/>
  <c r="D104" i="1" s="1"/>
  <c r="C46" i="1"/>
  <c r="C104" i="1" s="1"/>
  <c r="F27" i="1"/>
  <c r="D103" i="1" s="1"/>
  <c r="C27" i="1"/>
  <c r="C103" i="1" s="1"/>
  <c r="I4" i="1"/>
  <c r="E102" i="1" s="1"/>
  <c r="F4" i="1"/>
  <c r="D102" i="1" s="1"/>
  <c r="C4" i="1"/>
  <c r="C102" i="1" s="1"/>
  <c r="H102" i="1" s="1"/>
  <c r="F148" i="1" l="1"/>
  <c r="E144" i="1"/>
  <c r="F144" i="1"/>
  <c r="E148" i="1"/>
  <c r="E147" i="1"/>
  <c r="F147" i="1" s="1"/>
  <c r="F145" i="1"/>
  <c r="E146" i="1"/>
  <c r="F146" i="1" s="1"/>
  <c r="A16" i="2"/>
  <c r="B12" i="2"/>
  <c r="D123" i="1"/>
  <c r="E123" i="1" s="1"/>
  <c r="D124" i="1"/>
  <c r="E124" i="1" s="1"/>
  <c r="D125" i="1"/>
  <c r="E125" i="1" s="1"/>
  <c r="H104" i="1"/>
  <c r="H106" i="1"/>
  <c r="H103" i="1"/>
  <c r="C152" i="1" l="1" a="1"/>
  <c r="C152" i="1" s="1"/>
  <c r="H143" i="1"/>
  <c r="C150" i="1"/>
  <c r="C151" i="1" s="1" a="1"/>
  <c r="C151" i="1" s="1"/>
  <c r="C153" i="1" s="1"/>
  <c r="B16" i="2"/>
  <c r="A17" i="2"/>
  <c r="I105" i="1"/>
  <c r="I104" i="1"/>
  <c r="I102" i="1"/>
  <c r="I103" i="1"/>
  <c r="I106" i="1"/>
  <c r="H148" i="1" l="1"/>
  <c r="H145" i="1"/>
  <c r="H147" i="1"/>
  <c r="H144" i="1"/>
  <c r="H146" i="1"/>
  <c r="A18" i="2"/>
  <c r="B17" i="2"/>
  <c r="B18" i="2" l="1"/>
  <c r="A19" i="2"/>
  <c r="A20" i="2" l="1"/>
  <c r="B19" i="2"/>
  <c r="B20" i="2" l="1"/>
  <c r="A21" i="2"/>
  <c r="B21" i="2" l="1"/>
  <c r="A22" i="2"/>
  <c r="A23" i="2" l="1"/>
  <c r="B22" i="2"/>
  <c r="A24" i="2" l="1"/>
  <c r="B23" i="2"/>
  <c r="B24" i="2" l="1"/>
  <c r="A25" i="2"/>
  <c r="B25" i="2" l="1"/>
  <c r="A26" i="2"/>
  <c r="A27" i="2" l="1"/>
  <c r="B26" i="2"/>
  <c r="B27" i="2" l="1"/>
  <c r="A28" i="2"/>
  <c r="A29" i="2" l="1"/>
  <c r="B28" i="2"/>
  <c r="B29" i="2" l="1"/>
  <c r="A30" i="2"/>
  <c r="B30" i="2" l="1"/>
  <c r="A31" i="2"/>
  <c r="B31" i="2" l="1"/>
  <c r="A32" i="2"/>
  <c r="A33" i="2" l="1"/>
  <c r="B32" i="2"/>
  <c r="A34" i="2" l="1"/>
  <c r="B33" i="2"/>
  <c r="A35" i="2" l="1"/>
  <c r="B34" i="2"/>
  <c r="B35" i="2" l="1"/>
  <c r="A36" i="2"/>
  <c r="B36" i="2" l="1"/>
  <c r="A37" i="2"/>
  <c r="A38" i="2" l="1"/>
  <c r="B37" i="2"/>
  <c r="A39" i="2" l="1"/>
  <c r="B38" i="2"/>
  <c r="A40" i="2" l="1"/>
  <c r="B39" i="2"/>
  <c r="B40" i="2" l="1"/>
  <c r="A41" i="2"/>
  <c r="B41" i="2" l="1"/>
  <c r="A42" i="2"/>
  <c r="A43" i="2" l="1"/>
  <c r="B42" i="2"/>
  <c r="B43" i="2" l="1"/>
  <c r="A44" i="2"/>
  <c r="A45" i="2" l="1"/>
  <c r="B44" i="2"/>
  <c r="B45" i="2" l="1"/>
  <c r="A46" i="2"/>
  <c r="B46" i="2" l="1"/>
  <c r="A47" i="2"/>
  <c r="A48" i="2" l="1"/>
  <c r="B47" i="2"/>
  <c r="A49" i="2" l="1"/>
  <c r="B48" i="2"/>
  <c r="B49" i="2" l="1"/>
  <c r="A50" i="2"/>
  <c r="B50" i="2" l="1"/>
  <c r="A51" i="2"/>
  <c r="A52" i="2" l="1"/>
  <c r="B51" i="2"/>
  <c r="B52" i="2" l="1"/>
  <c r="A53" i="2"/>
  <c r="A54" i="2" l="1"/>
  <c r="B53" i="2"/>
  <c r="B54" i="2" l="1"/>
  <c r="A55" i="2"/>
  <c r="B55" i="2" l="1"/>
  <c r="A56" i="2"/>
  <c r="A57" i="2" l="1"/>
  <c r="B56" i="2"/>
  <c r="A58" i="2" l="1"/>
  <c r="B57" i="2"/>
  <c r="B58" i="2" l="1"/>
  <c r="A59" i="2"/>
  <c r="B59" i="2" l="1"/>
  <c r="A60" i="2"/>
  <c r="B60" i="2" l="1"/>
  <c r="A61" i="2"/>
  <c r="A62" i="2" l="1"/>
  <c r="B61" i="2"/>
  <c r="A63" i="2" l="1"/>
  <c r="B62" i="2"/>
  <c r="A64" i="2" l="1"/>
  <c r="B63" i="2"/>
  <c r="A65" i="2" l="1"/>
  <c r="B64" i="2"/>
  <c r="B65" i="2" l="1"/>
  <c r="A66" i="2"/>
  <c r="B66" i="2" l="1"/>
  <c r="A67" i="2"/>
  <c r="A68" i="2" l="1"/>
  <c r="B67" i="2"/>
  <c r="A69" i="2" l="1"/>
  <c r="B68" i="2"/>
  <c r="A70" i="2" l="1"/>
  <c r="B69" i="2"/>
  <c r="B70" i="2" l="1"/>
  <c r="A71" i="2"/>
  <c r="A72" i="2" l="1"/>
  <c r="B71" i="2"/>
  <c r="B72" i="2" l="1"/>
  <c r="A73" i="2"/>
  <c r="A74" i="2" l="1"/>
  <c r="B73" i="2"/>
  <c r="A75" i="2" l="1"/>
  <c r="B74" i="2"/>
  <c r="B75" i="2" l="1"/>
  <c r="A76" i="2"/>
  <c r="A77" i="2" l="1"/>
  <c r="B76" i="2"/>
  <c r="A78" i="2" l="1"/>
  <c r="B77" i="2"/>
  <c r="A79" i="2" l="1"/>
  <c r="B78" i="2"/>
  <c r="A80" i="2" l="1"/>
  <c r="B79" i="2"/>
  <c r="B80" i="2" l="1"/>
  <c r="A81" i="2"/>
  <c r="B81" i="2" l="1"/>
  <c r="A82" i="2"/>
  <c r="A83" i="2" l="1"/>
  <c r="B82" i="2"/>
  <c r="B83" i="2" l="1"/>
  <c r="A84" i="2"/>
  <c r="A85" i="2" l="1"/>
  <c r="B84" i="2"/>
  <c r="B85" i="2" l="1"/>
  <c r="A86" i="2"/>
  <c r="A87" i="2" l="1"/>
  <c r="B86" i="2"/>
  <c r="B87" i="2" l="1"/>
  <c r="A88" i="2"/>
  <c r="B88" i="2" l="1"/>
  <c r="A89" i="2"/>
  <c r="A90" i="2" l="1"/>
  <c r="B89" i="2"/>
  <c r="B90" i="2" l="1"/>
  <c r="A91" i="2"/>
  <c r="A92" i="2" l="1"/>
  <c r="B91" i="2"/>
  <c r="A93" i="2" l="1"/>
  <c r="B92" i="2"/>
  <c r="B93" i="2" l="1"/>
  <c r="A94" i="2"/>
  <c r="A95" i="2" l="1"/>
  <c r="B94" i="2"/>
  <c r="B95" i="2" l="1"/>
  <c r="A96" i="2"/>
  <c r="B96" i="2" l="1"/>
  <c r="A97" i="2"/>
  <c r="A98" i="2" l="1"/>
  <c r="B97" i="2"/>
  <c r="A99" i="2" l="1"/>
  <c r="B98" i="2"/>
  <c r="A100" i="2" l="1"/>
  <c r="B99" i="2"/>
  <c r="B100" i="2" l="1"/>
  <c r="A101" i="2"/>
  <c r="B101" i="2" l="1"/>
  <c r="A102" i="2"/>
  <c r="B102" i="2" l="1"/>
  <c r="A103" i="2"/>
  <c r="B103" i="2" l="1"/>
  <c r="A104" i="2"/>
  <c r="A105" i="2" l="1"/>
  <c r="B104" i="2"/>
  <c r="B105" i="2" l="1"/>
  <c r="A106" i="2"/>
  <c r="A107" i="2" l="1"/>
  <c r="B106" i="2"/>
  <c r="A108" i="2" l="1"/>
  <c r="B107" i="2"/>
  <c r="B108" i="2" l="1"/>
  <c r="A109" i="2"/>
  <c r="A110" i="2" l="1"/>
  <c r="B109" i="2"/>
  <c r="B110" i="2" l="1"/>
  <c r="A111" i="2"/>
  <c r="B111" i="2" l="1"/>
  <c r="A112" i="2"/>
  <c r="A113" i="2" l="1"/>
  <c r="B112" i="2"/>
  <c r="A114" i="2" l="1"/>
  <c r="B113" i="2"/>
  <c r="A115" i="2" l="1"/>
  <c r="B114" i="2"/>
  <c r="B115" i="2" l="1"/>
  <c r="A116" i="2"/>
  <c r="B116" i="2" l="1"/>
  <c r="A117" i="2"/>
  <c r="A118" i="2" l="1"/>
  <c r="B117" i="2"/>
  <c r="B118" i="2" l="1"/>
  <c r="A119" i="2"/>
  <c r="A120" i="2" l="1"/>
  <c r="B119" i="2"/>
  <c r="B120" i="2" l="1"/>
  <c r="A121" i="2"/>
  <c r="A122" i="2" l="1"/>
  <c r="B121" i="2"/>
  <c r="B122" i="2" l="1"/>
  <c r="A123" i="2"/>
  <c r="A124" i="2" l="1"/>
  <c r="B123" i="2"/>
  <c r="A125" i="2" l="1"/>
  <c r="B124" i="2"/>
  <c r="B125" i="2" l="1"/>
  <c r="A126" i="2"/>
  <c r="B126" i="2" l="1"/>
  <c r="A127" i="2"/>
  <c r="A128" i="2" l="1"/>
  <c r="B127" i="2"/>
  <c r="A129" i="2" l="1"/>
  <c r="B128" i="2"/>
  <c r="A130" i="2" l="1"/>
  <c r="B129" i="2"/>
  <c r="B130" i="2" l="1"/>
  <c r="A131" i="2"/>
  <c r="A132" i="2" l="1"/>
  <c r="B131" i="2"/>
  <c r="B132" i="2" l="1"/>
  <c r="A133" i="2"/>
  <c r="A134" i="2" l="1"/>
  <c r="B133" i="2"/>
  <c r="A135" i="2" l="1"/>
  <c r="B134" i="2"/>
  <c r="B135" i="2" l="1"/>
  <c r="A136" i="2"/>
  <c r="A137" i="2" l="1"/>
  <c r="B136" i="2"/>
  <c r="B137" i="2" l="1"/>
  <c r="A138" i="2"/>
  <c r="A139" i="2" l="1"/>
  <c r="B138" i="2"/>
  <c r="A140" i="2" l="1"/>
  <c r="B139" i="2"/>
  <c r="B140" i="2" l="1"/>
  <c r="A141" i="2"/>
  <c r="A142" i="2" l="1"/>
  <c r="B141" i="2"/>
  <c r="A143" i="2" l="1"/>
  <c r="B142" i="2"/>
  <c r="B143" i="2" l="1"/>
  <c r="A144" i="2"/>
  <c r="A145" i="2" l="1"/>
  <c r="B144" i="2"/>
  <c r="B145" i="2" l="1"/>
  <c r="A146" i="2"/>
  <c r="A147" i="2" l="1"/>
  <c r="B146" i="2"/>
  <c r="A148" i="2" l="1"/>
  <c r="B147" i="2"/>
  <c r="A149" i="2" l="1"/>
  <c r="B148" i="2"/>
  <c r="A150" i="2" l="1"/>
  <c r="B149" i="2"/>
  <c r="B150" i="2" l="1"/>
  <c r="A151" i="2"/>
  <c r="B151" i="2" l="1"/>
  <c r="A152" i="2"/>
  <c r="A153" i="2" l="1"/>
  <c r="B152" i="2"/>
  <c r="A154" i="2" l="1"/>
  <c r="B153" i="2"/>
  <c r="A155" i="2" l="1"/>
  <c r="B154" i="2"/>
  <c r="B155" i="2" l="1"/>
  <c r="A156" i="2"/>
  <c r="A157" i="2" l="1"/>
  <c r="B156" i="2"/>
  <c r="A158" i="2" l="1"/>
  <c r="B157" i="2"/>
  <c r="B158" i="2" l="1"/>
  <c r="A159" i="2"/>
  <c r="A160" i="2" l="1"/>
  <c r="B159" i="2"/>
  <c r="B160" i="2" l="1"/>
  <c r="A161" i="2"/>
  <c r="A162" i="2" l="1"/>
  <c r="B161" i="2"/>
  <c r="B162" i="2" l="1"/>
  <c r="A163" i="2"/>
  <c r="A164" i="2" l="1"/>
  <c r="B163" i="2"/>
  <c r="A165" i="2" l="1"/>
  <c r="B164" i="2"/>
  <c r="B165" i="2" l="1"/>
  <c r="A166" i="2"/>
  <c r="B166" i="2" l="1"/>
  <c r="A167" i="2"/>
  <c r="B167" i="2" l="1"/>
  <c r="A168" i="2"/>
  <c r="B168" i="2" l="1"/>
  <c r="A169" i="2"/>
  <c r="A170" i="2" l="1"/>
  <c r="B169" i="2"/>
  <c r="B170" i="2" l="1"/>
  <c r="A171" i="2"/>
  <c r="A172" i="2" l="1"/>
  <c r="B171" i="2"/>
  <c r="B172" i="2" l="1"/>
  <c r="A173" i="2"/>
  <c r="A174" i="2" l="1"/>
  <c r="B173" i="2"/>
  <c r="A175" i="2" l="1"/>
  <c r="B174" i="2"/>
  <c r="B175" i="2" l="1"/>
  <c r="A176" i="2"/>
  <c r="A177" i="2" l="1"/>
  <c r="B176" i="2"/>
  <c r="A178" i="2" l="1"/>
  <c r="B177" i="2"/>
  <c r="A179" i="2" l="1"/>
  <c r="B178" i="2"/>
  <c r="A180" i="2" l="1"/>
  <c r="B179" i="2"/>
  <c r="B180" i="2" l="1"/>
  <c r="A181" i="2"/>
  <c r="B181" i="2" l="1"/>
  <c r="A182" i="2"/>
  <c r="B182" i="2" l="1"/>
  <c r="A183" i="2"/>
  <c r="B183" i="2" l="1"/>
  <c r="A184" i="2"/>
  <c r="A185" i="2" l="1"/>
  <c r="B184" i="2"/>
  <c r="B185" i="2" l="1"/>
  <c r="A186" i="2"/>
  <c r="A187" i="2" l="1"/>
  <c r="B186" i="2"/>
  <c r="B187" i="2" l="1"/>
  <c r="A188" i="2"/>
  <c r="A189" i="2" l="1"/>
  <c r="B188" i="2"/>
  <c r="A190" i="2" l="1"/>
  <c r="B189" i="2"/>
  <c r="B190" i="2" l="1"/>
  <c r="A191" i="2"/>
  <c r="A192" i="2" l="1"/>
  <c r="B191" i="2"/>
  <c r="A193" i="2" l="1"/>
  <c r="B192" i="2"/>
  <c r="B193" i="2" l="1"/>
  <c r="A194" i="2"/>
  <c r="A195" i="2" l="1"/>
  <c r="B194" i="2"/>
  <c r="B195" i="2" l="1"/>
  <c r="A196" i="2"/>
  <c r="B196" i="2" l="1"/>
  <c r="A197" i="2"/>
  <c r="A198" i="2" l="1"/>
  <c r="B197" i="2"/>
  <c r="A199" i="2" l="1"/>
  <c r="B198" i="2"/>
  <c r="A200" i="2" l="1"/>
  <c r="B199" i="2"/>
  <c r="B200" i="2" l="1"/>
  <c r="A201" i="2"/>
  <c r="B201" i="2" l="1"/>
  <c r="A202" i="2"/>
  <c r="A203" i="2" l="1"/>
  <c r="B202" i="2"/>
  <c r="A204" i="2" l="1"/>
  <c r="B203" i="2"/>
  <c r="A205" i="2" l="1"/>
  <c r="B204" i="2"/>
  <c r="B205" i="2" l="1"/>
  <c r="A206" i="2"/>
  <c r="A207" i="2" l="1"/>
  <c r="B206" i="2"/>
  <c r="A208" i="2" l="1"/>
  <c r="B207" i="2"/>
  <c r="B208" i="2" l="1"/>
  <c r="A209" i="2"/>
  <c r="A210" i="2" l="1"/>
  <c r="B209" i="2"/>
  <c r="B210" i="2" l="1"/>
  <c r="A211" i="2"/>
  <c r="A212" i="2" l="1"/>
  <c r="B211" i="2"/>
  <c r="A213" i="2" l="1"/>
  <c r="B212" i="2"/>
  <c r="A214" i="2" l="1"/>
  <c r="B213" i="2"/>
  <c r="A215" i="2" l="1"/>
  <c r="B214" i="2"/>
  <c r="B215" i="2" l="1"/>
  <c r="A216" i="2"/>
  <c r="B216" i="2" l="1"/>
  <c r="A217" i="2"/>
  <c r="B217" i="2" l="1"/>
  <c r="A218" i="2"/>
  <c r="B218" i="2" l="1"/>
  <c r="A219" i="2"/>
  <c r="A220" i="2" l="1"/>
  <c r="B219" i="2"/>
  <c r="B220" i="2" l="1"/>
  <c r="A221" i="2"/>
  <c r="A222" i="2" l="1"/>
  <c r="B221" i="2"/>
  <c r="B222" i="2" l="1"/>
  <c r="A223" i="2"/>
  <c r="B223" i="2" l="1"/>
  <c r="A224" i="2"/>
  <c r="A225" i="2" l="1"/>
  <c r="B224" i="2"/>
  <c r="B225" i="2" l="1"/>
  <c r="A226" i="2"/>
  <c r="B226" i="2" l="1"/>
  <c r="A227" i="2"/>
  <c r="A228" i="2" l="1"/>
  <c r="B227" i="2"/>
  <c r="A229" i="2" l="1"/>
  <c r="B228" i="2"/>
  <c r="A230" i="2" l="1"/>
  <c r="B229" i="2"/>
  <c r="B230" i="2" l="1"/>
  <c r="A231" i="2"/>
  <c r="A232" i="2" l="1"/>
  <c r="B231" i="2"/>
  <c r="A233" i="2" l="1"/>
  <c r="B232" i="2"/>
  <c r="A234" i="2" l="1"/>
  <c r="B233" i="2"/>
  <c r="A235" i="2" l="1"/>
  <c r="B234" i="2"/>
  <c r="B235" i="2" l="1"/>
  <c r="A236" i="2"/>
  <c r="A237" i="2" l="1"/>
  <c r="B236" i="2"/>
  <c r="B237" i="2" l="1"/>
  <c r="A238" i="2"/>
  <c r="B238" i="2" l="1"/>
  <c r="A239" i="2"/>
  <c r="A240" i="2" l="1"/>
  <c r="B239" i="2"/>
  <c r="B240" i="2" l="1"/>
  <c r="A241" i="2"/>
  <c r="B241" i="2" l="1"/>
  <c r="A242" i="2"/>
  <c r="A243" i="2" l="1"/>
  <c r="B242" i="2"/>
  <c r="B243" i="2" l="1"/>
  <c r="A244" i="2"/>
  <c r="A245" i="2" l="1"/>
  <c r="B244" i="2"/>
  <c r="B245" i="2" l="1"/>
  <c r="A246" i="2"/>
  <c r="A247" i="2" l="1"/>
  <c r="B246" i="2"/>
  <c r="A248" i="2" l="1"/>
  <c r="B247" i="2"/>
  <c r="A249" i="2" l="1"/>
  <c r="B248" i="2"/>
  <c r="A250" i="2" l="1"/>
  <c r="B249" i="2"/>
  <c r="B250" i="2" l="1"/>
  <c r="A251" i="2"/>
  <c r="B251" i="2" l="1"/>
  <c r="A252" i="2"/>
  <c r="A253" i="2" l="1"/>
  <c r="B252" i="2"/>
  <c r="B253" i="2" l="1"/>
  <c r="A254" i="2"/>
  <c r="A255" i="2" l="1"/>
  <c r="B254" i="2"/>
  <c r="B255" i="2" l="1"/>
  <c r="A256" i="2"/>
  <c r="A257" i="2" l="1"/>
  <c r="B256" i="2"/>
  <c r="A258" i="2" l="1"/>
  <c r="B257" i="2"/>
  <c r="B258" i="2" l="1"/>
  <c r="A259" i="2"/>
  <c r="A260" i="2" l="1"/>
  <c r="B259" i="2"/>
  <c r="B260" i="2" l="1"/>
  <c r="A261" i="2"/>
  <c r="A262" i="2" l="1"/>
  <c r="B261" i="2"/>
  <c r="A263" i="2" l="1"/>
  <c r="B262" i="2"/>
  <c r="A264" i="2" l="1"/>
  <c r="B263" i="2"/>
  <c r="A265" i="2" l="1"/>
  <c r="B264" i="2"/>
  <c r="B265" i="2" l="1"/>
  <c r="A266" i="2"/>
  <c r="B266" i="2" l="1"/>
  <c r="A267" i="2"/>
  <c r="A268" i="2" l="1"/>
  <c r="B267" i="2"/>
  <c r="B268" i="2" l="1"/>
  <c r="A269" i="2"/>
  <c r="A270" i="2" l="1"/>
  <c r="B269" i="2"/>
  <c r="B270" i="2" l="1"/>
  <c r="A271" i="2"/>
  <c r="A272" i="2" l="1"/>
  <c r="B271" i="2"/>
  <c r="B272" i="2" l="1"/>
  <c r="A273" i="2"/>
  <c r="A274" i="2" l="1"/>
  <c r="B273" i="2"/>
  <c r="A275" i="2" l="1"/>
  <c r="B274" i="2"/>
  <c r="B275" i="2" l="1"/>
  <c r="A276" i="2"/>
  <c r="A277" i="2" l="1"/>
  <c r="B276" i="2"/>
  <c r="A278" i="2" l="1"/>
  <c r="B277" i="2"/>
  <c r="A279" i="2" l="1"/>
  <c r="B278" i="2"/>
  <c r="A280" i="2" l="1"/>
  <c r="B279" i="2"/>
  <c r="B280" i="2" l="1"/>
  <c r="A281" i="2"/>
  <c r="B281" i="2" l="1"/>
  <c r="A282" i="2"/>
  <c r="A283" i="2" l="1"/>
  <c r="B282" i="2"/>
  <c r="A284" i="2" l="1"/>
  <c r="B283" i="2"/>
  <c r="A285" i="2" l="1"/>
  <c r="B284" i="2"/>
  <c r="B285" i="2" l="1"/>
  <c r="A286" i="2"/>
  <c r="A287" i="2" l="1"/>
  <c r="B286" i="2"/>
  <c r="B287" i="2" l="1"/>
  <c r="A288" i="2"/>
  <c r="A289" i="2" l="1"/>
  <c r="B288" i="2"/>
  <c r="A290" i="2" l="1"/>
  <c r="B289" i="2"/>
  <c r="B290" i="2" l="1"/>
  <c r="A291" i="2"/>
  <c r="A292" i="2" l="1"/>
  <c r="B291" i="2"/>
  <c r="A293" i="2" l="1"/>
  <c r="B292" i="2"/>
  <c r="B293" i="2" l="1"/>
  <c r="A294" i="2"/>
  <c r="A295" i="2" l="1"/>
  <c r="B294" i="2"/>
  <c r="B295" i="2" l="1"/>
  <c r="A296" i="2"/>
  <c r="B296" i="2" l="1"/>
  <c r="A297" i="2"/>
  <c r="B297" i="2" l="1"/>
  <c r="A298" i="2"/>
  <c r="A299" i="2" l="1"/>
  <c r="B298" i="2"/>
  <c r="A300" i="2" l="1"/>
  <c r="B299" i="2"/>
  <c r="B300" i="2" l="1"/>
  <c r="A301" i="2"/>
  <c r="B301" i="2" l="1"/>
  <c r="A302" i="2"/>
  <c r="A303" i="2" l="1"/>
  <c r="B302" i="2"/>
  <c r="B303" i="2" l="1"/>
  <c r="A304" i="2"/>
  <c r="A305" i="2" l="1"/>
  <c r="B304" i="2"/>
  <c r="B305" i="2" l="1"/>
  <c r="A306" i="2"/>
  <c r="A307" i="2" l="1"/>
  <c r="B306" i="2"/>
  <c r="A308" i="2" l="1"/>
  <c r="B307" i="2"/>
  <c r="B308" i="2" l="1"/>
  <c r="A309" i="2"/>
  <c r="A310" i="2" l="1"/>
  <c r="B309" i="2"/>
  <c r="B310" i="2" l="1"/>
  <c r="A311" i="2"/>
  <c r="A312" i="2" l="1"/>
  <c r="B311" i="2"/>
  <c r="A313" i="2" l="1"/>
  <c r="B312" i="2"/>
  <c r="A314" i="2" l="1"/>
  <c r="B313" i="2"/>
  <c r="A315" i="2" l="1"/>
  <c r="B314" i="2"/>
  <c r="B315" i="2" l="1"/>
  <c r="A316" i="2"/>
  <c r="B316" i="2" l="1"/>
  <c r="A317" i="2"/>
  <c r="A318" i="2" l="1"/>
  <c r="B317" i="2"/>
  <c r="A319" i="2" l="1"/>
  <c r="B318" i="2"/>
  <c r="A320" i="2" l="1"/>
  <c r="B319" i="2"/>
  <c r="B320" i="2" l="1"/>
  <c r="A321" i="2"/>
  <c r="A322" i="2" l="1"/>
  <c r="B321" i="2"/>
  <c r="B322" i="2" l="1"/>
  <c r="A323" i="2"/>
  <c r="A324" i="2" l="1"/>
  <c r="B323" i="2"/>
  <c r="A325" i="2" l="1"/>
  <c r="B324" i="2"/>
  <c r="B325" i="2" l="1"/>
  <c r="A326" i="2"/>
  <c r="A327" i="2" l="1"/>
  <c r="B326" i="2"/>
  <c r="A328" i="2" l="1"/>
  <c r="B327" i="2"/>
  <c r="A329" i="2" l="1"/>
  <c r="B328" i="2"/>
  <c r="A330" i="2" l="1"/>
  <c r="B329" i="2"/>
  <c r="B330" i="2" l="1"/>
  <c r="A331" i="2"/>
  <c r="A332" i="2" l="1"/>
  <c r="B331" i="2"/>
  <c r="B332" i="2" l="1"/>
  <c r="A333" i="2"/>
  <c r="A334" i="2" l="1"/>
  <c r="B333" i="2"/>
  <c r="A335" i="2" l="1"/>
  <c r="B334" i="2"/>
  <c r="B335" i="2" l="1"/>
  <c r="A336" i="2"/>
  <c r="A337" i="2" l="1"/>
  <c r="B336" i="2"/>
  <c r="B337" i="2" l="1"/>
  <c r="A338" i="2"/>
  <c r="B338" i="2" l="1"/>
  <c r="A339" i="2"/>
  <c r="A340" i="2" l="1"/>
  <c r="B339" i="2"/>
  <c r="B340" i="2" l="1"/>
  <c r="A341" i="2"/>
  <c r="A342" i="2" l="1"/>
  <c r="B341" i="2"/>
  <c r="A343" i="2" l="1"/>
  <c r="B342" i="2"/>
  <c r="B343" i="2" l="1"/>
  <c r="A344" i="2"/>
  <c r="A345" i="2" l="1"/>
  <c r="B344" i="2"/>
  <c r="B345" i="2" l="1"/>
  <c r="A346" i="2"/>
  <c r="B346" i="2" l="1"/>
  <c r="A347" i="2"/>
  <c r="B347" i="2" l="1"/>
  <c r="A348" i="2"/>
  <c r="A349" i="2" l="1"/>
  <c r="B348" i="2"/>
  <c r="A350" i="2" l="1"/>
  <c r="B349" i="2"/>
  <c r="B350" i="2" l="1"/>
  <c r="A351" i="2"/>
  <c r="B351" i="2" l="1"/>
  <c r="A352" i="2"/>
  <c r="B352" i="2" l="1"/>
  <c r="A353" i="2"/>
  <c r="A354" i="2" l="1"/>
  <c r="B353" i="2"/>
  <c r="A355" i="2" l="1"/>
  <c r="B354" i="2"/>
  <c r="B355" i="2" l="1"/>
  <c r="A356" i="2"/>
  <c r="A357" i="2" l="1"/>
  <c r="B356" i="2"/>
  <c r="A358" i="2" l="1"/>
  <c r="B357" i="2"/>
  <c r="B358" i="2" l="1"/>
  <c r="A359" i="2"/>
  <c r="A360" i="2" l="1"/>
  <c r="B359" i="2"/>
  <c r="B360" i="2" l="1"/>
  <c r="A361" i="2"/>
  <c r="A362" i="2" l="1"/>
  <c r="B361" i="2"/>
  <c r="A363" i="2" l="1"/>
  <c r="B362" i="2"/>
  <c r="A364" i="2" l="1"/>
  <c r="B363" i="2"/>
  <c r="A365" i="2" l="1"/>
  <c r="B364" i="2"/>
  <c r="B365" i="2" l="1"/>
  <c r="A366" i="2"/>
  <c r="B366" i="2" l="1"/>
  <c r="A367" i="2"/>
  <c r="A368" i="2" l="1"/>
  <c r="B367" i="2"/>
  <c r="A369" i="2" l="1"/>
  <c r="B368" i="2"/>
  <c r="A370" i="2" l="1"/>
  <c r="B369" i="2"/>
  <c r="B370" i="2" l="1"/>
  <c r="A371" i="2"/>
  <c r="A372" i="2" l="1"/>
  <c r="B371" i="2"/>
  <c r="B372" i="2" l="1"/>
  <c r="A373" i="2"/>
  <c r="A374" i="2" l="1"/>
  <c r="B373" i="2"/>
  <c r="A375" i="2" l="1"/>
  <c r="B374" i="2"/>
  <c r="B375" i="2" l="1"/>
  <c r="A376" i="2"/>
  <c r="A377" i="2" l="1"/>
  <c r="B376" i="2"/>
  <c r="A378" i="2" l="1"/>
  <c r="B377" i="2"/>
  <c r="A379" i="2" l="1"/>
  <c r="B378" i="2"/>
  <c r="A380" i="2" l="1"/>
  <c r="B379" i="2"/>
  <c r="B380" i="2" l="1"/>
  <c r="A381" i="2"/>
  <c r="B381" i="2" l="1"/>
  <c r="A382" i="2"/>
  <c r="A383" i="2" l="1"/>
  <c r="B382" i="2"/>
  <c r="A384" i="2" l="1"/>
  <c r="B383" i="2"/>
  <c r="A385" i="2" l="1"/>
  <c r="B384" i="2"/>
  <c r="B385" i="2" l="1"/>
  <c r="A386" i="2"/>
  <c r="A387" i="2" l="1"/>
  <c r="B386" i="2"/>
  <c r="B387" i="2" l="1"/>
  <c r="A388" i="2"/>
  <c r="A389" i="2" l="1"/>
  <c r="B388" i="2"/>
  <c r="A390" i="2" l="1"/>
  <c r="B389" i="2"/>
  <c r="B390" i="2" l="1"/>
  <c r="A391" i="2"/>
  <c r="A392" i="2" l="1"/>
  <c r="B391" i="2"/>
  <c r="A393" i="2" l="1"/>
  <c r="B392" i="2"/>
  <c r="B393" i="2" l="1"/>
  <c r="A394" i="2"/>
  <c r="A395" i="2" l="1"/>
  <c r="B394" i="2"/>
  <c r="B395" i="2" l="1"/>
  <c r="A396" i="2"/>
  <c r="A397" i="2" l="1"/>
  <c r="B396" i="2"/>
  <c r="A398" i="2" l="1"/>
  <c r="B397" i="2"/>
  <c r="A399" i="2" l="1"/>
  <c r="B398" i="2"/>
  <c r="A400" i="2" l="1"/>
  <c r="B399" i="2"/>
  <c r="B400" i="2" l="1"/>
  <c r="A401" i="2"/>
  <c r="B401" i="2" l="1"/>
  <c r="A402" i="2"/>
  <c r="A403" i="2" l="1"/>
  <c r="B402" i="2"/>
  <c r="B403" i="2" l="1"/>
  <c r="A404" i="2"/>
  <c r="A405" i="2" l="1"/>
  <c r="B404" i="2"/>
  <c r="B405" i="2" l="1"/>
  <c r="A406" i="2"/>
  <c r="B406" i="2" l="1"/>
  <c r="A407" i="2"/>
  <c r="B407" i="2" l="1"/>
  <c r="A408" i="2"/>
  <c r="A409" i="2" l="1"/>
  <c r="B408" i="2"/>
  <c r="A410" i="2" l="1"/>
  <c r="B409" i="2"/>
  <c r="B410" i="2" l="1"/>
  <c r="A411" i="2"/>
  <c r="A412" i="2" l="1"/>
  <c r="B411" i="2"/>
  <c r="B412" i="2" l="1"/>
  <c r="A413" i="2"/>
  <c r="B413" i="2" l="1"/>
  <c r="A414" i="2"/>
  <c r="A415" i="2" l="1"/>
  <c r="B414" i="2"/>
  <c r="B415" i="2" l="1"/>
  <c r="A416" i="2"/>
  <c r="A417" i="2" l="1"/>
  <c r="B416" i="2"/>
  <c r="B417" i="2" l="1"/>
  <c r="A418" i="2"/>
  <c r="A419" i="2" l="1"/>
  <c r="B418" i="2"/>
  <c r="A420" i="2" l="1"/>
  <c r="B419" i="2"/>
  <c r="B420" i="2" l="1"/>
  <c r="A421" i="2"/>
  <c r="A422" i="2" l="1"/>
  <c r="B421" i="2"/>
  <c r="A423" i="2" l="1"/>
  <c r="B422" i="2"/>
  <c r="B423" i="2" l="1"/>
  <c r="A424" i="2"/>
  <c r="B424" i="2" l="1"/>
  <c r="A425" i="2"/>
  <c r="B425" i="2" l="1"/>
  <c r="A426" i="2"/>
  <c r="A427" i="2" l="1"/>
  <c r="B426" i="2"/>
  <c r="A428" i="2" l="1"/>
  <c r="B427" i="2"/>
  <c r="B428" i="2" l="1"/>
  <c r="A429" i="2"/>
  <c r="A430" i="2" l="1"/>
  <c r="B429" i="2"/>
  <c r="B430" i="2" l="1"/>
  <c r="A431" i="2"/>
  <c r="B431" i="2" l="1"/>
  <c r="A432" i="2"/>
  <c r="A433" i="2" l="1"/>
  <c r="B432" i="2"/>
  <c r="A434" i="2" l="1"/>
  <c r="B433" i="2"/>
  <c r="B434" i="2" l="1"/>
  <c r="A435" i="2"/>
  <c r="B435" i="2" l="1"/>
  <c r="A436" i="2"/>
  <c r="A437" i="2" l="1"/>
  <c r="B436" i="2"/>
  <c r="A438" i="2" l="1"/>
  <c r="B437" i="2"/>
  <c r="A439" i="2" l="1"/>
  <c r="B438" i="2"/>
  <c r="B439" i="2" l="1"/>
  <c r="A440" i="2"/>
  <c r="B440" i="2" l="1"/>
  <c r="A441" i="2"/>
  <c r="B441" i="2" l="1"/>
  <c r="A442" i="2"/>
  <c r="B442" i="2" l="1"/>
  <c r="A443" i="2"/>
  <c r="A444" i="2" l="1"/>
  <c r="B443" i="2"/>
  <c r="A445" i="2" l="1"/>
  <c r="B444" i="2"/>
  <c r="B445" i="2" l="1"/>
  <c r="A446" i="2"/>
  <c r="A447" i="2" l="1"/>
  <c r="B446" i="2"/>
  <c r="A448" i="2" l="1"/>
  <c r="B447" i="2"/>
  <c r="B448" i="2" l="1"/>
  <c r="A449" i="2"/>
  <c r="A450" i="2" l="1"/>
  <c r="B449" i="2"/>
  <c r="B450" i="2" l="1"/>
  <c r="A451" i="2"/>
  <c r="B451" i="2" l="1"/>
  <c r="A452" i="2"/>
  <c r="A453" i="2" l="1"/>
  <c r="B452" i="2"/>
  <c r="A454" i="2" l="1"/>
  <c r="B453" i="2"/>
  <c r="A455" i="2" l="1"/>
  <c r="B454" i="2"/>
  <c r="B455" i="2" l="1"/>
  <c r="A456" i="2"/>
  <c r="B456" i="2" l="1"/>
  <c r="A457" i="2"/>
  <c r="A458" i="2" l="1"/>
  <c r="B457" i="2"/>
  <c r="B458" i="2" l="1"/>
  <c r="A459" i="2"/>
  <c r="A460" i="2" l="1"/>
  <c r="B459" i="2"/>
  <c r="B460" i="2" l="1"/>
  <c r="A461" i="2"/>
  <c r="A462" i="2" l="1"/>
  <c r="B461" i="2"/>
  <c r="B462" i="2" l="1"/>
  <c r="A463" i="2"/>
  <c r="A464" i="2" l="1"/>
  <c r="B463" i="2"/>
  <c r="A465" i="2" l="1"/>
  <c r="B464" i="2"/>
  <c r="B465" i="2" l="1"/>
  <c r="A466" i="2"/>
  <c r="A467" i="2" l="1"/>
  <c r="B466" i="2"/>
  <c r="B467" i="2" l="1"/>
  <c r="A468" i="2"/>
  <c r="B468" i="2" l="1"/>
  <c r="A469" i="2"/>
  <c r="B469" i="2" l="1"/>
  <c r="A470" i="2"/>
  <c r="B470" i="2" l="1"/>
  <c r="A471" i="2"/>
  <c r="A472" i="2" l="1"/>
  <c r="B471" i="2"/>
  <c r="A473" i="2" l="1"/>
  <c r="B472" i="2"/>
  <c r="B473" i="2" l="1"/>
  <c r="A474" i="2"/>
  <c r="A475" i="2" l="1"/>
  <c r="B474" i="2"/>
  <c r="B475" i="2" l="1"/>
  <c r="A476" i="2"/>
  <c r="B476" i="2" l="1"/>
  <c r="A477" i="2"/>
  <c r="A478" i="2" l="1"/>
  <c r="B477" i="2"/>
  <c r="A479" i="2" l="1"/>
  <c r="B478" i="2"/>
  <c r="B479" i="2" l="1"/>
  <c r="A480" i="2"/>
  <c r="A481" i="2" l="1"/>
  <c r="B480" i="2"/>
  <c r="B481" i="2" l="1"/>
  <c r="A482" i="2"/>
  <c r="B482" i="2" l="1"/>
  <c r="A483" i="2"/>
  <c r="A484" i="2" l="1"/>
  <c r="B483" i="2"/>
  <c r="A485" i="2" l="1"/>
  <c r="B484" i="2"/>
  <c r="B485" i="2" l="1"/>
  <c r="A486" i="2"/>
  <c r="B486" i="2" l="1"/>
  <c r="A487" i="2"/>
  <c r="A488" i="2" l="1"/>
  <c r="B487" i="2"/>
  <c r="B488" i="2" l="1"/>
  <c r="A489" i="2"/>
  <c r="A490" i="2" l="1"/>
  <c r="B489" i="2"/>
  <c r="A491" i="2" l="1"/>
  <c r="B490" i="2"/>
  <c r="B491" i="2" l="1"/>
  <c r="A492" i="2"/>
  <c r="B492" i="2" l="1"/>
  <c r="A493" i="2"/>
  <c r="A494" i="2" l="1"/>
  <c r="B493" i="2"/>
  <c r="A495" i="2" l="1"/>
  <c r="B494" i="2"/>
  <c r="A496" i="2" l="1"/>
  <c r="B495" i="2"/>
  <c r="B496" i="2" l="1"/>
  <c r="A497" i="2"/>
  <c r="A498" i="2" l="1"/>
  <c r="B497" i="2"/>
  <c r="B498" i="2" l="1"/>
  <c r="A499" i="2"/>
  <c r="B499" i="2" l="1"/>
  <c r="A500" i="2"/>
  <c r="A501" i="2" l="1"/>
  <c r="B500" i="2"/>
  <c r="B501" i="2" l="1"/>
  <c r="A502" i="2"/>
  <c r="A503" i="2" l="1"/>
  <c r="B502" i="2"/>
  <c r="B503" i="2" l="1"/>
  <c r="A504" i="2"/>
  <c r="B504" i="2" l="1"/>
  <c r="A505" i="2"/>
  <c r="A506" i="2" l="1"/>
  <c r="B505" i="2"/>
  <c r="B506" i="2" l="1"/>
  <c r="A507" i="2"/>
  <c r="B507" i="2" l="1"/>
  <c r="A508" i="2"/>
  <c r="A509" i="2" l="1"/>
  <c r="B508" i="2"/>
  <c r="A510" i="2" l="1"/>
  <c r="B509" i="2"/>
  <c r="B510" i="2" l="1"/>
  <c r="A511" i="2"/>
  <c r="B511" i="2" l="1"/>
  <c r="A512" i="2"/>
  <c r="A513" i="2" l="1"/>
  <c r="B512" i="2"/>
  <c r="A514" i="2" l="1"/>
  <c r="B513" i="2"/>
  <c r="B514" i="2" l="1"/>
  <c r="A515" i="2"/>
  <c r="A516" i="2" l="1"/>
  <c r="B515" i="2"/>
  <c r="B516" i="2" l="1"/>
  <c r="A517" i="2"/>
  <c r="A518" i="2" l="1"/>
  <c r="B517" i="2"/>
  <c r="B518" i="2" l="1"/>
  <c r="A519" i="2"/>
  <c r="A520" i="2" l="1"/>
  <c r="B519" i="2"/>
  <c r="A521" i="2" l="1"/>
  <c r="B520" i="2"/>
  <c r="B521" i="2" l="1"/>
  <c r="A522" i="2"/>
  <c r="B522" i="2" l="1"/>
  <c r="A523" i="2"/>
  <c r="B523" i="2" l="1"/>
  <c r="A524" i="2"/>
  <c r="A525" i="2" l="1"/>
  <c r="B524" i="2"/>
  <c r="B525" i="2" l="1"/>
  <c r="A526" i="2"/>
  <c r="B526" i="2" l="1"/>
  <c r="A527" i="2"/>
  <c r="A528" i="2" l="1"/>
  <c r="B527" i="2"/>
  <c r="B528" i="2" l="1"/>
  <c r="A529" i="2"/>
  <c r="B529" i="2" l="1"/>
  <c r="A530" i="2"/>
  <c r="A531" i="2" l="1"/>
  <c r="B530" i="2"/>
  <c r="B531" i="2" l="1"/>
  <c r="A532" i="2"/>
  <c r="A533" i="2" l="1"/>
  <c r="B532" i="2"/>
  <c r="A534" i="2" l="1"/>
  <c r="B533" i="2"/>
  <c r="B534" i="2" l="1"/>
  <c r="A535" i="2"/>
  <c r="A536" i="2" l="1"/>
  <c r="B535" i="2"/>
  <c r="B536" i="2" l="1"/>
  <c r="A537" i="2"/>
  <c r="A538" i="2" l="1"/>
  <c r="B537" i="2"/>
  <c r="B538" i="2" l="1"/>
  <c r="A539" i="2"/>
  <c r="A540" i="2" l="1"/>
  <c r="B539" i="2"/>
  <c r="B540" i="2" l="1"/>
  <c r="A541" i="2"/>
  <c r="B541" i="2" l="1"/>
  <c r="A542" i="2"/>
  <c r="B542" i="2" l="1"/>
  <c r="A543" i="2"/>
  <c r="A544" i="2" l="1"/>
  <c r="B543" i="2"/>
  <c r="A545" i="2" l="1"/>
  <c r="B544" i="2"/>
  <c r="A546" i="2" l="1"/>
  <c r="B545" i="2"/>
  <c r="B546" i="2" l="1"/>
  <c r="A547" i="2"/>
  <c r="A548" i="2" l="1"/>
  <c r="B547" i="2"/>
  <c r="A549" i="2" l="1"/>
  <c r="B548" i="2"/>
  <c r="B549" i="2" l="1"/>
  <c r="A550" i="2"/>
  <c r="A551" i="2" l="1"/>
  <c r="B550" i="2"/>
  <c r="B551" i="2" l="1"/>
  <c r="A552" i="2"/>
  <c r="A553" i="2" l="1"/>
  <c r="B552" i="2"/>
  <c r="B553" i="2" l="1"/>
  <c r="A554" i="2"/>
  <c r="A555" i="2" l="1"/>
  <c r="B554" i="2"/>
  <c r="A556" i="2" l="1"/>
  <c r="B555" i="2"/>
  <c r="B556" i="2" l="1"/>
  <c r="A557" i="2"/>
  <c r="A558" i="2" l="1"/>
  <c r="B557" i="2"/>
  <c r="A559" i="2" l="1"/>
  <c r="B558" i="2"/>
  <c r="B559" i="2" l="1"/>
  <c r="A560" i="2"/>
  <c r="B560" i="2" l="1"/>
  <c r="A561" i="2"/>
  <c r="B561" i="2" l="1"/>
  <c r="A562" i="2"/>
  <c r="B562" i="2" l="1"/>
  <c r="A563" i="2"/>
  <c r="A564" i="2" l="1"/>
  <c r="B563" i="2"/>
  <c r="B564" i="2" l="1"/>
  <c r="A565" i="2"/>
  <c r="B565" i="2" l="1"/>
  <c r="A566" i="2"/>
  <c r="B566" i="2" l="1"/>
  <c r="A567" i="2"/>
  <c r="A568" i="2" l="1"/>
  <c r="B567" i="2"/>
  <c r="A569" i="2" l="1"/>
  <c r="B568" i="2"/>
  <c r="A570" i="2" l="1"/>
  <c r="B569" i="2"/>
  <c r="A571" i="2" l="1"/>
  <c r="B570" i="2"/>
  <c r="B571" i="2" l="1"/>
  <c r="A572" i="2"/>
  <c r="B572" i="2" l="1"/>
  <c r="A573" i="2"/>
  <c r="A574" i="2" l="1"/>
  <c r="B573" i="2"/>
  <c r="A575" i="2" l="1"/>
  <c r="B574" i="2"/>
  <c r="B575" i="2" l="1"/>
  <c r="A576" i="2"/>
  <c r="B576" i="2" l="1"/>
  <c r="A577" i="2"/>
  <c r="A578" i="2" l="1"/>
  <c r="B577" i="2"/>
  <c r="B578" i="2" l="1"/>
  <c r="A579" i="2"/>
  <c r="A580" i="2" l="1"/>
  <c r="B579" i="2"/>
  <c r="A581" i="2" l="1"/>
  <c r="B580" i="2"/>
  <c r="B581" i="2" l="1"/>
  <c r="A582" i="2"/>
  <c r="A583" i="2" l="1"/>
  <c r="B582" i="2"/>
  <c r="A584" i="2" l="1"/>
  <c r="B583" i="2"/>
  <c r="B584" i="2" l="1"/>
  <c r="A585" i="2"/>
  <c r="B585" i="2" l="1"/>
  <c r="A586" i="2"/>
  <c r="B586" i="2" l="1"/>
  <c r="A587" i="2"/>
  <c r="A588" i="2" l="1"/>
  <c r="B587" i="2"/>
  <c r="A589" i="2" l="1"/>
  <c r="B588" i="2"/>
  <c r="A590" i="2" l="1"/>
  <c r="B589" i="2"/>
  <c r="B590" i="2" l="1"/>
  <c r="A591" i="2"/>
  <c r="B591" i="2" l="1"/>
  <c r="A592" i="2"/>
  <c r="B592" i="2" l="1"/>
  <c r="A593" i="2"/>
  <c r="B593" i="2" l="1"/>
  <c r="A594" i="2"/>
  <c r="A595" i="2" l="1"/>
  <c r="B594" i="2"/>
  <c r="A596" i="2" l="1"/>
  <c r="B595" i="2"/>
  <c r="B596" i="2" l="1"/>
  <c r="A597" i="2"/>
  <c r="A598" i="2" l="1"/>
  <c r="B597" i="2"/>
  <c r="A599" i="2" l="1"/>
  <c r="B598" i="2"/>
  <c r="A600" i="2" l="1"/>
  <c r="B599" i="2"/>
  <c r="B600" i="2" l="1"/>
  <c r="A601" i="2"/>
  <c r="B601" i="2" l="1"/>
  <c r="A602" i="2"/>
  <c r="B602" i="2" l="1"/>
  <c r="A603" i="2"/>
  <c r="B603" i="2" l="1"/>
  <c r="A604" i="2"/>
  <c r="B604" i="2" l="1"/>
  <c r="A605" i="2"/>
  <c r="A606" i="2" l="1"/>
  <c r="B605" i="2"/>
  <c r="B606" i="2" l="1"/>
  <c r="A607" i="2"/>
  <c r="A608" i="2" l="1"/>
  <c r="B607" i="2"/>
  <c r="A609" i="2" l="1"/>
  <c r="B608" i="2"/>
  <c r="A610" i="2" l="1"/>
  <c r="B609" i="2"/>
  <c r="B610" i="2" l="1"/>
  <c r="A611" i="2"/>
  <c r="B611" i="2" l="1"/>
  <c r="A612" i="2"/>
  <c r="A613" i="2" l="1"/>
  <c r="B612" i="2"/>
  <c r="A614" i="2" l="1"/>
  <c r="B613" i="2"/>
  <c r="B614" i="2" l="1"/>
  <c r="A615" i="2"/>
  <c r="B615" i="2" l="1"/>
  <c r="A616" i="2"/>
  <c r="B616" i="2" l="1"/>
  <c r="A617" i="2"/>
  <c r="A618" i="2" l="1"/>
  <c r="B617" i="2"/>
  <c r="A619" i="2" l="1"/>
  <c r="B618" i="2"/>
  <c r="A620" i="2" l="1"/>
  <c r="B619" i="2"/>
  <c r="B620" i="2" l="1"/>
  <c r="A621" i="2"/>
  <c r="B621" i="2" l="1"/>
  <c r="A622" i="2"/>
  <c r="A623" i="2" l="1"/>
  <c r="B622" i="2"/>
  <c r="A624" i="2" l="1"/>
  <c r="B623" i="2"/>
  <c r="A625" i="2" l="1"/>
  <c r="B624" i="2"/>
  <c r="B625" i="2" l="1"/>
  <c r="A626" i="2"/>
  <c r="B626" i="2" l="1"/>
  <c r="A627" i="2"/>
  <c r="A628" i="2" l="1"/>
  <c r="B627" i="2"/>
  <c r="B628" i="2" l="1"/>
  <c r="A629" i="2"/>
  <c r="A630" i="2" l="1"/>
  <c r="B629" i="2"/>
  <c r="A631" i="2" l="1"/>
  <c r="B630" i="2"/>
  <c r="B631" i="2" l="1"/>
  <c r="A632" i="2"/>
  <c r="B632" i="2" l="1"/>
  <c r="A633" i="2"/>
  <c r="B633" i="2" l="1"/>
  <c r="A634" i="2"/>
  <c r="A635" i="2" l="1"/>
  <c r="B634" i="2"/>
  <c r="A636" i="2" l="1"/>
  <c r="B635" i="2"/>
  <c r="B636" i="2" l="1"/>
  <c r="A637" i="2"/>
  <c r="B637" i="2" l="1"/>
  <c r="A638" i="2"/>
  <c r="B638" i="2" l="1"/>
  <c r="A639" i="2"/>
  <c r="A640" i="2" l="1"/>
  <c r="B639" i="2"/>
  <c r="A641" i="2" l="1"/>
  <c r="B640" i="2"/>
  <c r="B641" i="2" l="1"/>
  <c r="A642" i="2"/>
  <c r="B642" i="2" l="1"/>
  <c r="A643" i="2"/>
  <c r="A644" i="2" l="1"/>
  <c r="B643" i="2"/>
  <c r="A645" i="2" l="1"/>
  <c r="B644" i="2"/>
  <c r="A646" i="2" l="1"/>
  <c r="B645" i="2"/>
  <c r="B646" i="2" l="1"/>
  <c r="A647" i="2"/>
  <c r="A648" i="2" l="1"/>
  <c r="B647" i="2"/>
  <c r="B648" i="2" l="1"/>
  <c r="A649" i="2"/>
  <c r="B649" i="2" l="1"/>
  <c r="A650" i="2"/>
  <c r="A651" i="2" l="1"/>
  <c r="B650" i="2"/>
  <c r="B651" i="2" l="1"/>
  <c r="A652" i="2"/>
  <c r="A653" i="2" l="1"/>
  <c r="B652" i="2"/>
  <c r="B653" i="2" l="1"/>
  <c r="A654" i="2"/>
  <c r="A655" i="2" l="1"/>
  <c r="B654" i="2"/>
  <c r="A656" i="2" l="1"/>
  <c r="B655" i="2"/>
  <c r="B656" i="2" l="1"/>
  <c r="A657" i="2"/>
  <c r="A658" i="2" l="1"/>
  <c r="B657" i="2"/>
  <c r="A659" i="2" l="1"/>
  <c r="B658" i="2"/>
  <c r="B659" i="2" l="1"/>
  <c r="A660" i="2"/>
  <c r="B660" i="2" l="1"/>
  <c r="A661" i="2"/>
  <c r="B661" i="2" l="1"/>
  <c r="A662" i="2"/>
  <c r="A663" i="2" l="1"/>
  <c r="B662" i="2"/>
  <c r="A664" i="2" l="1"/>
  <c r="B663" i="2"/>
  <c r="B664" i="2" l="1"/>
  <c r="A665" i="2"/>
  <c r="A666" i="2" l="1"/>
  <c r="B665" i="2"/>
  <c r="B666" i="2" l="1"/>
  <c r="A667" i="2"/>
  <c r="A668" i="2" l="1"/>
  <c r="B667" i="2"/>
  <c r="A669" i="2" l="1"/>
  <c r="B668" i="2"/>
  <c r="A670" i="2" l="1"/>
  <c r="B669" i="2"/>
  <c r="B670" i="2" l="1"/>
  <c r="A671" i="2"/>
  <c r="B671" i="2" l="1"/>
  <c r="A672" i="2"/>
  <c r="A673" i="2" l="1"/>
  <c r="B672" i="2"/>
  <c r="A674" i="2" l="1"/>
  <c r="B673" i="2"/>
  <c r="A675" i="2" l="1"/>
  <c r="B674" i="2"/>
  <c r="B675" i="2" l="1"/>
  <c r="A676" i="2"/>
  <c r="B676" i="2" l="1"/>
  <c r="A677" i="2"/>
  <c r="B677" i="2" l="1"/>
  <c r="A678" i="2"/>
  <c r="A679" i="2" l="1"/>
  <c r="B678" i="2"/>
  <c r="A680" i="2" l="1"/>
  <c r="B679" i="2"/>
  <c r="A681" i="2" l="1"/>
  <c r="B680" i="2"/>
  <c r="B681" i="2" l="1"/>
  <c r="A682" i="2"/>
  <c r="A683" i="2" l="1"/>
  <c r="B682" i="2"/>
  <c r="A684" i="2" l="1"/>
  <c r="B683" i="2"/>
  <c r="B684" i="2" l="1"/>
  <c r="A685" i="2"/>
  <c r="A686" i="2" l="1"/>
  <c r="B685" i="2"/>
  <c r="B686" i="2" l="1"/>
  <c r="A687" i="2"/>
  <c r="B687" i="2" l="1"/>
  <c r="A688" i="2"/>
  <c r="A689" i="2" l="1"/>
  <c r="B688" i="2"/>
  <c r="B689" i="2" l="1"/>
  <c r="A690" i="2"/>
  <c r="A691" i="2" l="1"/>
  <c r="B690" i="2"/>
  <c r="B691" i="2" l="1"/>
  <c r="A692" i="2"/>
  <c r="B692" i="2" l="1"/>
  <c r="A693" i="2"/>
  <c r="A694" i="2" l="1"/>
  <c r="B693" i="2"/>
  <c r="B694" i="2" l="1"/>
  <c r="A695" i="2"/>
  <c r="A696" i="2" l="1"/>
  <c r="B695" i="2"/>
  <c r="B696" i="2" l="1"/>
  <c r="A697" i="2"/>
  <c r="A698" i="2" l="1"/>
  <c r="B697" i="2"/>
  <c r="B698" i="2" l="1"/>
  <c r="A699" i="2"/>
  <c r="A700" i="2" l="1"/>
  <c r="B699" i="2"/>
  <c r="A701" i="2" l="1"/>
  <c r="B700" i="2"/>
  <c r="B701" i="2" l="1"/>
  <c r="A702" i="2"/>
  <c r="A703" i="2" l="1"/>
  <c r="B702" i="2"/>
  <c r="B703" i="2" l="1"/>
  <c r="A704" i="2"/>
  <c r="B704" i="2" l="1"/>
  <c r="A705" i="2"/>
  <c r="A706" i="2" l="1"/>
  <c r="B705" i="2"/>
  <c r="B706" i="2" l="1"/>
  <c r="A707" i="2"/>
  <c r="A708" i="2" l="1"/>
  <c r="B707" i="2"/>
  <c r="A709" i="2" l="1"/>
  <c r="B708" i="2"/>
  <c r="B709" i="2" l="1"/>
  <c r="A710" i="2"/>
  <c r="A711" i="2" l="1"/>
  <c r="B710" i="2"/>
  <c r="B711" i="2" l="1"/>
  <c r="A712" i="2"/>
  <c r="B712" i="2" l="1"/>
  <c r="A713" i="2"/>
  <c r="A714" i="2" l="1"/>
  <c r="B713" i="2"/>
  <c r="B714" i="2" l="1"/>
  <c r="A715" i="2"/>
  <c r="A716" i="2" l="1"/>
  <c r="B715" i="2"/>
  <c r="B716" i="2" l="1"/>
  <c r="A717" i="2"/>
  <c r="A718" i="2" l="1"/>
  <c r="B717" i="2"/>
  <c r="A719" i="2" l="1"/>
  <c r="B718" i="2"/>
  <c r="A720" i="2" l="1"/>
  <c r="B719" i="2"/>
  <c r="B720" i="2" l="1"/>
  <c r="A721" i="2"/>
  <c r="B721" i="2" l="1"/>
  <c r="A722" i="2"/>
  <c r="B722" i="2" l="1"/>
  <c r="A723" i="2"/>
  <c r="B723" i="2" l="1"/>
  <c r="A724" i="2"/>
  <c r="A725" i="2" l="1"/>
  <c r="B724" i="2"/>
  <c r="B725" i="2" l="1"/>
  <c r="A726" i="2"/>
  <c r="B726" i="2" l="1"/>
  <c r="A727" i="2"/>
  <c r="A728" i="2" l="1"/>
  <c r="B727" i="2"/>
  <c r="A729" i="2" l="1"/>
  <c r="B728" i="2"/>
  <c r="A730" i="2" l="1"/>
  <c r="B729" i="2"/>
  <c r="A731" i="2" l="1"/>
  <c r="B730" i="2"/>
  <c r="B731" i="2" l="1"/>
  <c r="A732" i="2"/>
  <c r="B732" i="2" l="1"/>
  <c r="A733" i="2"/>
  <c r="A734" i="2" l="1"/>
  <c r="B733" i="2"/>
  <c r="A735" i="2" l="1"/>
  <c r="B734" i="2"/>
  <c r="A736" i="2" l="1"/>
  <c r="B735" i="2"/>
  <c r="B736" i="2" l="1"/>
  <c r="A737" i="2"/>
  <c r="A738" i="2" l="1"/>
  <c r="B737" i="2"/>
  <c r="B738" i="2" l="1"/>
  <c r="A739" i="2"/>
  <c r="A740" i="2" l="1"/>
  <c r="B739" i="2"/>
  <c r="A741" i="2" l="1"/>
  <c r="B740" i="2"/>
  <c r="B741" i="2" l="1"/>
  <c r="A742" i="2"/>
  <c r="A743" i="2" l="1"/>
  <c r="B742" i="2"/>
  <c r="A744" i="2" l="1"/>
  <c r="B743" i="2"/>
  <c r="B744" i="2" l="1"/>
  <c r="A745" i="2"/>
  <c r="A746" i="2" l="1"/>
  <c r="B745" i="2"/>
  <c r="B746" i="2" l="1"/>
  <c r="A747" i="2"/>
  <c r="A748" i="2" l="1"/>
  <c r="B747" i="2"/>
  <c r="A749" i="2" l="1"/>
  <c r="B748" i="2"/>
  <c r="A750" i="2" l="1"/>
  <c r="B749" i="2"/>
  <c r="A751" i="2" l="1"/>
  <c r="B750" i="2"/>
  <c r="B751" i="2" l="1"/>
  <c r="A752" i="2"/>
  <c r="B752" i="2" l="1"/>
  <c r="A753" i="2"/>
  <c r="A754" i="2" l="1"/>
  <c r="B753" i="2"/>
  <c r="A755" i="2" l="1"/>
  <c r="B754" i="2"/>
  <c r="A756" i="2" l="1"/>
  <c r="B755" i="2"/>
  <c r="B756" i="2" l="1"/>
  <c r="A757" i="2"/>
  <c r="B757" i="2" l="1"/>
  <c r="A758" i="2"/>
  <c r="A759" i="2" l="1"/>
  <c r="B758" i="2"/>
  <c r="A760" i="2" l="1"/>
  <c r="B759" i="2"/>
  <c r="A761" i="2" l="1"/>
  <c r="B760" i="2"/>
  <c r="B761" i="2" l="1"/>
  <c r="A762" i="2"/>
  <c r="A763" i="2" l="1"/>
  <c r="B762" i="2"/>
  <c r="B763" i="2" l="1"/>
  <c r="A764" i="2"/>
  <c r="B764" i="2" l="1"/>
  <c r="A765" i="2"/>
  <c r="A766" i="2" l="1"/>
  <c r="B765" i="2"/>
  <c r="B766" i="2" l="1"/>
  <c r="A767" i="2"/>
  <c r="A768" i="2" l="1"/>
  <c r="B767" i="2"/>
  <c r="A769" i="2" l="1"/>
  <c r="B768" i="2"/>
  <c r="B769" i="2" l="1"/>
  <c r="A770" i="2"/>
  <c r="A771" i="2" l="1"/>
  <c r="B770" i="2"/>
  <c r="B771" i="2" l="1"/>
  <c r="A772" i="2"/>
  <c r="B772" i="2" l="1"/>
  <c r="A773" i="2"/>
  <c r="A774" i="2" l="1"/>
  <c r="B773" i="2"/>
  <c r="A775" i="2" l="1"/>
  <c r="B774" i="2"/>
  <c r="A776" i="2" l="1"/>
  <c r="B775" i="2"/>
  <c r="B776" i="2" l="1"/>
  <c r="A777" i="2"/>
  <c r="A778" i="2" l="1"/>
  <c r="B777" i="2"/>
  <c r="A779" i="2" l="1"/>
  <c r="B778" i="2"/>
  <c r="A780" i="2" l="1"/>
  <c r="B779" i="2"/>
  <c r="A781" i="2" l="1"/>
  <c r="B780" i="2"/>
  <c r="B781" i="2" l="1"/>
  <c r="A782" i="2"/>
  <c r="B782" i="2" l="1"/>
  <c r="A783" i="2"/>
  <c r="B783" i="2" l="1"/>
  <c r="A784" i="2"/>
  <c r="A785" i="2" l="1"/>
  <c r="B784" i="2"/>
  <c r="A786" i="2" l="1"/>
  <c r="B785" i="2"/>
  <c r="B786" i="2" l="1"/>
  <c r="A787" i="2"/>
  <c r="A788" i="2" l="1"/>
  <c r="B787" i="2"/>
  <c r="B788" i="2" l="1"/>
  <c r="A789" i="2"/>
  <c r="B789" i="2" l="1"/>
  <c r="A790" i="2"/>
  <c r="B790" i="2" l="1"/>
  <c r="A791" i="2"/>
  <c r="A792" i="2" l="1"/>
  <c r="B791" i="2"/>
  <c r="A793" i="2" l="1"/>
  <c r="B792" i="2"/>
  <c r="A794" i="2" l="1"/>
  <c r="B793" i="2"/>
  <c r="B794" i="2" l="1"/>
  <c r="A795" i="2"/>
  <c r="B795" i="2" l="1"/>
  <c r="A796" i="2"/>
  <c r="A797" i="2" l="1"/>
  <c r="B796" i="2"/>
  <c r="B797" i="2" l="1"/>
  <c r="A798" i="2"/>
  <c r="B798" i="2" l="1"/>
  <c r="A799" i="2"/>
  <c r="A800" i="2" l="1"/>
  <c r="B799" i="2"/>
  <c r="B800" i="2" l="1"/>
  <c r="A801" i="2"/>
  <c r="B801" i="2" l="1"/>
  <c r="A802" i="2"/>
  <c r="A803" i="2" l="1"/>
  <c r="B802" i="2"/>
  <c r="A804" i="2" l="1"/>
  <c r="B803" i="2"/>
  <c r="A805" i="2" l="1"/>
  <c r="B804" i="2"/>
  <c r="B805" i="2" l="1"/>
  <c r="A806" i="2"/>
  <c r="A807" i="2" l="1"/>
  <c r="B806" i="2"/>
  <c r="A808" i="2" l="1"/>
  <c r="B807" i="2"/>
  <c r="B808" i="2" l="1"/>
  <c r="A809" i="2"/>
  <c r="B809" i="2" l="1"/>
  <c r="A810" i="2"/>
  <c r="B810" i="2" l="1"/>
  <c r="A811" i="2"/>
  <c r="B811" i="2" l="1"/>
  <c r="A812" i="2"/>
  <c r="A813" i="2" l="1"/>
  <c r="B812" i="2"/>
  <c r="A814" i="2" l="1"/>
  <c r="B813" i="2"/>
  <c r="A815" i="2" l="1"/>
  <c r="B814" i="2"/>
  <c r="B815" i="2" l="1"/>
  <c r="A816" i="2"/>
  <c r="A817" i="2" l="1"/>
  <c r="B816" i="2"/>
  <c r="B817" i="2" l="1"/>
  <c r="A818" i="2"/>
  <c r="A819" i="2" l="1"/>
  <c r="B818" i="2"/>
  <c r="B819" i="2" l="1"/>
  <c r="A820" i="2"/>
  <c r="B820" i="2" l="1"/>
  <c r="A821" i="2"/>
  <c r="A822" i="2" l="1"/>
  <c r="B821" i="2"/>
  <c r="A823" i="2" l="1"/>
  <c r="B822" i="2"/>
  <c r="A824" i="2" l="1"/>
  <c r="B823" i="2"/>
  <c r="A825" i="2" l="1"/>
  <c r="B824" i="2"/>
  <c r="B825" i="2" l="1"/>
  <c r="A826" i="2"/>
  <c r="B826" i="2" l="1"/>
  <c r="A827" i="2"/>
  <c r="A828" i="2" l="1"/>
  <c r="B827" i="2"/>
  <c r="A829" i="2" l="1"/>
  <c r="B828" i="2"/>
  <c r="A830" i="2" l="1"/>
  <c r="B829" i="2"/>
  <c r="B830" i="2" l="1"/>
  <c r="A831" i="2"/>
  <c r="A832" i="2" l="1"/>
  <c r="B831" i="2"/>
  <c r="A833" i="2" l="1"/>
  <c r="B832" i="2"/>
  <c r="B833" i="2" l="1"/>
  <c r="A834" i="2"/>
  <c r="A835" i="2" l="1"/>
  <c r="B834" i="2"/>
  <c r="B835" i="2" l="1"/>
  <c r="A836" i="2"/>
  <c r="B836" i="2" l="1"/>
  <c r="A837" i="2"/>
  <c r="A838" i="2" l="1"/>
  <c r="B837" i="2"/>
  <c r="A839" i="2" l="1"/>
  <c r="B838" i="2"/>
  <c r="A840" i="2" l="1"/>
  <c r="B839" i="2"/>
  <c r="B840" i="2" l="1"/>
  <c r="A841" i="2"/>
  <c r="A842" i="2" l="1"/>
  <c r="B841" i="2"/>
  <c r="B842" i="2" l="1"/>
  <c r="A843" i="2"/>
  <c r="A844" i="2" l="1"/>
  <c r="B843" i="2"/>
  <c r="B844" i="2" l="1"/>
  <c r="A845" i="2"/>
  <c r="B845" i="2" l="1"/>
  <c r="A846" i="2"/>
  <c r="A847" i="2" l="1"/>
  <c r="B846" i="2"/>
  <c r="B847" i="2" l="1"/>
  <c r="A848" i="2"/>
  <c r="A849" i="2" l="1"/>
  <c r="B848" i="2"/>
  <c r="B849" i="2" l="1"/>
  <c r="A850" i="2"/>
  <c r="B850" i="2" l="1"/>
  <c r="A851" i="2"/>
  <c r="A852" i="2" l="1"/>
  <c r="B851" i="2"/>
  <c r="A853" i="2" l="1"/>
  <c r="B852" i="2"/>
  <c r="B853" i="2" l="1"/>
  <c r="A854" i="2"/>
  <c r="A855" i="2" l="1"/>
  <c r="B854" i="2"/>
  <c r="B855" i="2" l="1"/>
  <c r="A856" i="2"/>
  <c r="B856" i="2" l="1"/>
  <c r="A857" i="2"/>
  <c r="A858" i="2" l="1"/>
  <c r="B857" i="2"/>
  <c r="B858" i="2" l="1"/>
  <c r="A859" i="2"/>
  <c r="B859" i="2" l="1"/>
  <c r="A860" i="2"/>
  <c r="B860" i="2" l="1"/>
  <c r="A861" i="2"/>
  <c r="A862" i="2" l="1"/>
  <c r="B861" i="2"/>
  <c r="A863" i="2" l="1"/>
  <c r="B862" i="2"/>
  <c r="A864" i="2" l="1"/>
  <c r="B863" i="2"/>
  <c r="A865" i="2" l="1"/>
  <c r="B864" i="2"/>
  <c r="B865" i="2" l="1"/>
  <c r="A866" i="2"/>
  <c r="A867" i="2" l="1"/>
  <c r="B866" i="2"/>
  <c r="A868" i="2" l="1"/>
  <c r="B867" i="2"/>
  <c r="A869" i="2" l="1"/>
  <c r="B868" i="2"/>
  <c r="B869" i="2" l="1"/>
  <c r="A870" i="2"/>
  <c r="B870" i="2" l="1"/>
  <c r="A871" i="2"/>
  <c r="A872" i="2" l="1"/>
  <c r="B871" i="2"/>
  <c r="B872" i="2" l="1"/>
  <c r="A873" i="2"/>
  <c r="A874" i="2" l="1"/>
  <c r="B873" i="2"/>
  <c r="A875" i="2" l="1"/>
  <c r="B874" i="2"/>
  <c r="B875" i="2" l="1"/>
  <c r="A876" i="2"/>
  <c r="A877" i="2" l="1"/>
  <c r="B876" i="2"/>
  <c r="B877" i="2" l="1"/>
  <c r="A878" i="2"/>
  <c r="A879" i="2" l="1"/>
  <c r="B878" i="2"/>
  <c r="A880" i="2" l="1"/>
  <c r="B879" i="2"/>
  <c r="B880" i="2" l="1"/>
  <c r="A881" i="2"/>
  <c r="B881" i="2" l="1"/>
  <c r="A882" i="2"/>
  <c r="A883" i="2" l="1"/>
  <c r="B882" i="2"/>
  <c r="A884" i="2" l="1"/>
  <c r="B883" i="2"/>
  <c r="A885" i="2" l="1"/>
  <c r="B884" i="2"/>
  <c r="B885" i="2" l="1"/>
  <c r="A886" i="2"/>
  <c r="B886" i="2" l="1"/>
  <c r="A887" i="2"/>
  <c r="A888" i="2" l="1"/>
  <c r="B887" i="2"/>
  <c r="B888" i="2" l="1"/>
  <c r="A889" i="2"/>
  <c r="B889" i="2" l="1"/>
  <c r="A890" i="2"/>
  <c r="B890" i="2" l="1"/>
  <c r="A891" i="2"/>
  <c r="A892" i="2" l="1"/>
  <c r="B891" i="2"/>
  <c r="A893" i="2" l="1"/>
  <c r="B892" i="2"/>
  <c r="A894" i="2" l="1"/>
  <c r="B893" i="2"/>
  <c r="A895" i="2" l="1"/>
  <c r="B894" i="2"/>
  <c r="B895" i="2" l="1"/>
  <c r="A896" i="2"/>
  <c r="A897" i="2" l="1"/>
  <c r="B896" i="2"/>
  <c r="B897" i="2" l="1"/>
  <c r="A898" i="2"/>
  <c r="A899" i="2" l="1"/>
  <c r="B898" i="2"/>
  <c r="B899" i="2" l="1"/>
  <c r="A900" i="2"/>
  <c r="B900" i="2" l="1"/>
  <c r="A901" i="2"/>
  <c r="A902" i="2" l="1"/>
  <c r="B901" i="2"/>
  <c r="A903" i="2" l="1"/>
  <c r="B902" i="2"/>
  <c r="A904" i="2" l="1"/>
  <c r="B903" i="2"/>
  <c r="B904" i="2" l="1"/>
  <c r="A905" i="2"/>
  <c r="B905" i="2" l="1"/>
  <c r="A906" i="2"/>
  <c r="A907" i="2" l="1"/>
  <c r="B906" i="2"/>
  <c r="A908" i="2" l="1"/>
  <c r="B907" i="2"/>
  <c r="B908" i="2" l="1"/>
  <c r="A909" i="2"/>
  <c r="A910" i="2" l="1"/>
  <c r="B909" i="2"/>
  <c r="B910" i="2" l="1"/>
  <c r="A911" i="2"/>
  <c r="A912" i="2" l="1"/>
  <c r="B911" i="2"/>
  <c r="A913" i="2" l="1"/>
  <c r="B912" i="2"/>
  <c r="A914" i="2" l="1"/>
  <c r="B913" i="2"/>
  <c r="B914" i="2" l="1"/>
  <c r="A915" i="2"/>
  <c r="B915" i="2" l="1"/>
  <c r="A916" i="2"/>
  <c r="A917" i="2" l="1"/>
  <c r="B916" i="2"/>
  <c r="A918" i="2" l="1"/>
  <c r="B917" i="2"/>
  <c r="A919" i="2" l="1"/>
  <c r="B918" i="2"/>
  <c r="B919" i="2" l="1"/>
  <c r="A920" i="2"/>
  <c r="B920" i="2" l="1"/>
  <c r="A921" i="2"/>
  <c r="B921" i="2" l="1"/>
  <c r="A922" i="2"/>
  <c r="A923" i="2" l="1"/>
  <c r="B922" i="2"/>
  <c r="A924" i="2" l="1"/>
  <c r="B923" i="2"/>
  <c r="A925" i="2" l="1"/>
  <c r="B924" i="2"/>
  <c r="B925" i="2" l="1"/>
  <c r="A926" i="2"/>
  <c r="A927" i="2" l="1"/>
  <c r="B926" i="2"/>
  <c r="A928" i="2" l="1"/>
  <c r="B927" i="2"/>
  <c r="B928" i="2" l="1"/>
  <c r="A929" i="2"/>
  <c r="A930" i="2" l="1"/>
  <c r="B929" i="2"/>
  <c r="B930" i="2" l="1"/>
  <c r="A931" i="2"/>
  <c r="B931" i="2" l="1"/>
  <c r="A932" i="2"/>
  <c r="A933" i="2" l="1"/>
  <c r="B932" i="2"/>
  <c r="A934" i="2" l="1"/>
  <c r="B933" i="2"/>
  <c r="A935" i="2" l="1"/>
  <c r="B934" i="2"/>
  <c r="B935" i="2" l="1"/>
  <c r="A936" i="2"/>
  <c r="B936" i="2" l="1"/>
  <c r="A937" i="2"/>
  <c r="B937" i="2" l="1"/>
  <c r="A938" i="2"/>
  <c r="B938" i="2" l="1"/>
  <c r="A939" i="2"/>
  <c r="A940" i="2" l="1"/>
  <c r="B939" i="2"/>
  <c r="B940" i="2" l="1"/>
  <c r="A941" i="2"/>
  <c r="A942" i="2" l="1"/>
  <c r="B941" i="2"/>
  <c r="A943" i="2" l="1"/>
  <c r="B942" i="2"/>
  <c r="A944" i="2" l="1"/>
  <c r="B943" i="2"/>
  <c r="B944" i="2" l="1"/>
  <c r="A945" i="2"/>
  <c r="B945" i="2" l="1"/>
  <c r="A946" i="2"/>
  <c r="A947" i="2" l="1"/>
  <c r="B946" i="2"/>
  <c r="B947" i="2" l="1"/>
  <c r="A948" i="2"/>
  <c r="A949" i="2" l="1"/>
  <c r="B948" i="2"/>
  <c r="A950" i="2" l="1"/>
  <c r="B949" i="2"/>
  <c r="B950" i="2" l="1"/>
  <c r="A951" i="2"/>
  <c r="A952" i="2" l="1"/>
  <c r="B951" i="2"/>
  <c r="A953" i="2" l="1"/>
  <c r="B952" i="2"/>
  <c r="B953" i="2" l="1"/>
  <c r="A954" i="2"/>
  <c r="A955" i="2" l="1"/>
  <c r="B954" i="2"/>
  <c r="B955" i="2" l="1"/>
  <c r="A956" i="2"/>
  <c r="A957" i="2" l="1"/>
  <c r="B956" i="2"/>
  <c r="A958" i="2" l="1"/>
  <c r="B957" i="2"/>
  <c r="B958" i="2" l="1"/>
  <c r="A959" i="2"/>
  <c r="A960" i="2" l="1"/>
  <c r="B959" i="2"/>
  <c r="B960" i="2" l="1"/>
  <c r="A961" i="2"/>
  <c r="A962" i="2" l="1"/>
  <c r="B961" i="2"/>
  <c r="A963" i="2" l="1"/>
  <c r="B962" i="2"/>
  <c r="A964" i="2" l="1"/>
  <c r="B963" i="2"/>
  <c r="B964" i="2" l="1"/>
  <c r="A965" i="2"/>
  <c r="B965" i="2" l="1"/>
  <c r="A966" i="2"/>
  <c r="A967" i="2" l="1"/>
  <c r="B966" i="2"/>
  <c r="B967" i="2" l="1"/>
  <c r="A968" i="2"/>
  <c r="A969" i="2" l="1"/>
  <c r="B968" i="2"/>
  <c r="B969" i="2" l="1"/>
  <c r="A970" i="2"/>
  <c r="B970" i="2" l="1"/>
  <c r="A971" i="2"/>
  <c r="B971" i="2" l="1"/>
  <c r="A972" i="2"/>
  <c r="A973" i="2" l="1"/>
  <c r="B972" i="2"/>
  <c r="A974" i="2" l="1"/>
  <c r="B973" i="2"/>
  <c r="A975" i="2" l="1"/>
  <c r="B974" i="2"/>
  <c r="B975" i="2" l="1"/>
  <c r="A976" i="2"/>
  <c r="B976" i="2" l="1"/>
  <c r="A977" i="2"/>
  <c r="A978" i="2" l="1"/>
  <c r="B977" i="2"/>
  <c r="B978" i="2" l="1"/>
  <c r="A979" i="2"/>
  <c r="A980" i="2" l="1"/>
  <c r="B979" i="2"/>
  <c r="B980" i="2" l="1"/>
  <c r="A981" i="2"/>
  <c r="A982" i="2" l="1"/>
  <c r="B981" i="2"/>
  <c r="A983" i="2" l="1"/>
  <c r="B982" i="2"/>
  <c r="B983" i="2" l="1"/>
  <c r="A984" i="2"/>
  <c r="A985" i="2" l="1"/>
  <c r="B984" i="2"/>
  <c r="B985" i="2" l="1"/>
  <c r="A986" i="2"/>
  <c r="B986" i="2" l="1"/>
  <c r="A987" i="2"/>
  <c r="A988" i="2" l="1"/>
  <c r="B987" i="2"/>
  <c r="A989" i="2" l="1"/>
  <c r="B988" i="2"/>
  <c r="A990" i="2" l="1"/>
  <c r="B989" i="2"/>
  <c r="B990" i="2" l="1"/>
  <c r="A991" i="2"/>
  <c r="A992" i="2" l="1"/>
  <c r="B991" i="2"/>
  <c r="B992" i="2" l="1"/>
  <c r="A993" i="2"/>
  <c r="B993" i="2" l="1"/>
  <c r="A994" i="2"/>
  <c r="A995" i="2" l="1"/>
  <c r="B994" i="2"/>
  <c r="B995" i="2" l="1"/>
  <c r="A996" i="2"/>
  <c r="A997" i="2" l="1"/>
  <c r="B996" i="2"/>
  <c r="B997" i="2" l="1"/>
  <c r="A998" i="2"/>
  <c r="A999" i="2" l="1"/>
  <c r="B998" i="2"/>
  <c r="B999" i="2" l="1"/>
  <c r="A1000" i="2"/>
  <c r="B1000" i="2" l="1"/>
  <c r="A1001" i="2"/>
  <c r="A1002" i="2" l="1"/>
  <c r="B1001" i="2"/>
  <c r="A1003" i="2" l="1"/>
  <c r="B1002" i="2"/>
  <c r="A1004" i="2" l="1"/>
  <c r="B1003" i="2"/>
  <c r="B1004" i="2" l="1"/>
  <c r="A1005" i="2"/>
  <c r="B1005" i="2" l="1"/>
  <c r="A1006" i="2"/>
  <c r="A1007" i="2" l="1"/>
  <c r="B1006" i="2"/>
  <c r="A1008" i="2" l="1"/>
  <c r="B1007" i="2"/>
  <c r="B1008" i="2" l="1"/>
  <c r="A1009" i="2"/>
  <c r="A1010" i="2" l="1"/>
  <c r="B1009" i="2"/>
  <c r="B1010" i="2" l="1"/>
  <c r="A1011" i="2"/>
  <c r="A1012" i="2" l="1"/>
  <c r="B1011" i="2"/>
  <c r="A1013" i="2" l="1"/>
  <c r="B1012" i="2"/>
  <c r="A1014" i="2" l="1"/>
  <c r="B1013" i="2"/>
  <c r="A1015" i="2" l="1"/>
  <c r="B1014" i="2"/>
  <c r="B1015" i="2" l="1"/>
  <c r="A1016" i="2"/>
  <c r="B1016" i="2" l="1"/>
  <c r="A1017" i="2"/>
  <c r="B1017" i="2" l="1"/>
  <c r="A1018" i="2"/>
  <c r="A1019" i="2" l="1"/>
  <c r="B1018" i="2"/>
  <c r="B1019" i="2" l="1"/>
  <c r="A1020" i="2"/>
  <c r="B1020" i="2" l="1"/>
  <c r="A1021" i="2"/>
  <c r="A1022" i="2" l="1"/>
  <c r="B1021" i="2"/>
  <c r="A1023" i="2" l="1"/>
  <c r="B1022" i="2"/>
  <c r="A1024" i="2" l="1"/>
  <c r="B1023" i="2"/>
  <c r="A1025" i="2" l="1"/>
  <c r="B1024" i="2"/>
  <c r="B1025" i="2" l="1"/>
  <c r="A1026" i="2"/>
  <c r="A1027" i="2" l="1"/>
  <c r="B1026" i="2"/>
  <c r="A1028" i="2" l="1"/>
  <c r="B1027" i="2"/>
  <c r="A1029" i="2" l="1"/>
  <c r="B1028" i="2"/>
  <c r="A1030" i="2" l="1"/>
  <c r="B1029" i="2"/>
  <c r="B1030" i="2" l="1"/>
  <c r="A1031" i="2"/>
  <c r="A1032" i="2" l="1"/>
  <c r="B1031" i="2"/>
  <c r="B1032" i="2" l="1"/>
  <c r="A1033" i="2"/>
  <c r="B1033" i="2" l="1"/>
  <c r="A1034" i="2"/>
  <c r="A1035" i="2" l="1"/>
  <c r="B1034" i="2"/>
  <c r="B1035" i="2" l="1"/>
  <c r="A1036" i="2"/>
  <c r="B1036" i="2" l="1"/>
  <c r="A1037" i="2"/>
  <c r="A1038" i="2" l="1"/>
  <c r="B1037" i="2"/>
  <c r="A1039" i="2" l="1"/>
  <c r="B1038" i="2"/>
  <c r="B1039" i="2" l="1"/>
  <c r="A1040" i="2"/>
  <c r="B1040" i="2" l="1"/>
  <c r="A1041" i="2"/>
  <c r="A1042" i="2" l="1"/>
  <c r="B1041" i="2"/>
  <c r="A1043" i="2" l="1"/>
  <c r="B1042" i="2"/>
  <c r="B1043" i="2" l="1"/>
  <c r="A1044" i="2"/>
  <c r="A1045" i="2" l="1"/>
  <c r="B1044" i="2"/>
  <c r="B1045" i="2" l="1"/>
  <c r="A1046" i="2"/>
  <c r="A1047" i="2" l="1"/>
  <c r="B1046" i="2"/>
  <c r="B1047" i="2" l="1"/>
  <c r="A1048" i="2"/>
  <c r="B1048" i="2" l="1"/>
  <c r="A1049" i="2"/>
  <c r="A1050" i="2" l="1"/>
  <c r="B1049" i="2"/>
  <c r="B1050" i="2" l="1"/>
  <c r="A1051" i="2"/>
  <c r="A1052" i="2" l="1"/>
  <c r="B1051" i="2"/>
  <c r="A1053" i="2" l="1"/>
  <c r="B1052" i="2"/>
  <c r="A1054" i="2" l="1"/>
  <c r="B1053" i="2"/>
  <c r="A1055" i="2" l="1"/>
  <c r="B1054" i="2"/>
  <c r="B1055" i="2" l="1"/>
  <c r="A1056" i="2"/>
  <c r="A1057" i="2" l="1"/>
  <c r="B1056" i="2"/>
  <c r="A1058" i="2" l="1"/>
  <c r="B1057" i="2"/>
  <c r="B1058" i="2" l="1"/>
  <c r="A1059" i="2"/>
  <c r="A1060" i="2" l="1"/>
  <c r="B1059" i="2"/>
  <c r="B1060" i="2" l="1"/>
  <c r="A1061" i="2"/>
  <c r="A1062" i="2" l="1"/>
  <c r="B1061" i="2"/>
  <c r="A1063" i="2" l="1"/>
  <c r="B1062" i="2"/>
  <c r="A1064" i="2" l="1"/>
  <c r="B1063" i="2"/>
  <c r="B1064" i="2" l="1"/>
  <c r="A1065" i="2"/>
  <c r="B1065" i="2" l="1"/>
  <c r="A1066" i="2"/>
  <c r="A1067" i="2" l="1"/>
  <c r="B1066" i="2"/>
  <c r="A1068" i="2" l="1"/>
  <c r="B1067" i="2"/>
  <c r="A1069" i="2" l="1"/>
  <c r="B1068" i="2"/>
  <c r="B1069" i="2" l="1"/>
  <c r="A1070" i="2"/>
  <c r="B1070" i="2" l="1"/>
  <c r="A1071" i="2"/>
  <c r="B1071" i="2" l="1"/>
  <c r="A1072" i="2"/>
  <c r="B1072" i="2" l="1"/>
  <c r="A1073" i="2"/>
  <c r="A1074" i="2" l="1"/>
  <c r="B1073" i="2"/>
  <c r="A1075" i="2" l="1"/>
  <c r="B1074" i="2"/>
  <c r="B1075" i="2" l="1"/>
  <c r="A1076" i="2"/>
  <c r="B1076" i="2" l="1"/>
  <c r="A1077" i="2"/>
  <c r="A1078" i="2" l="1"/>
  <c r="B1077" i="2"/>
  <c r="B1078" i="2" l="1"/>
  <c r="A1079" i="2"/>
  <c r="A1080" i="2" l="1"/>
  <c r="B1079" i="2"/>
  <c r="B1080" i="2" l="1"/>
  <c r="A1081" i="2"/>
  <c r="A1082" i="2" l="1"/>
  <c r="B1081" i="2"/>
  <c r="A1083" i="2" l="1"/>
  <c r="B1082" i="2"/>
  <c r="B1083" i="2" l="1"/>
  <c r="A1084" i="2"/>
  <c r="A1085" i="2" l="1"/>
  <c r="B1084" i="2"/>
  <c r="B1085" i="2" l="1"/>
  <c r="A1086" i="2"/>
  <c r="B1086" i="2" l="1"/>
  <c r="A1087" i="2"/>
  <c r="B1087" i="2" l="1"/>
  <c r="A1088" i="2"/>
  <c r="A1089" i="2" l="1"/>
  <c r="B1088" i="2"/>
  <c r="A1090" i="2" l="1"/>
  <c r="B1089" i="2"/>
  <c r="B1090" i="2" l="1"/>
  <c r="A1091" i="2"/>
  <c r="A1092" i="2" l="1"/>
  <c r="B1091" i="2"/>
  <c r="A1093" i="2" l="1"/>
  <c r="B1092" i="2"/>
  <c r="A1094" i="2" l="1"/>
  <c r="B1093" i="2"/>
  <c r="B1094" i="2" l="1"/>
  <c r="A1095" i="2"/>
  <c r="B1095" i="2" l="1"/>
  <c r="A1096" i="2"/>
  <c r="A1097" i="2" l="1"/>
  <c r="B1096" i="2"/>
  <c r="B1097" i="2" l="1"/>
  <c r="A1098" i="2"/>
  <c r="B1098" i="2" l="1"/>
  <c r="A1099" i="2"/>
  <c r="B1099" i="2" l="1"/>
  <c r="A1100" i="2"/>
  <c r="B1100" i="2" l="1"/>
  <c r="A1101" i="2"/>
  <c r="A1102" i="2" l="1"/>
  <c r="B1101" i="2"/>
  <c r="A1103" i="2" l="1"/>
  <c r="B1102" i="2"/>
  <c r="B1103" i="2" l="1"/>
  <c r="A1104" i="2"/>
  <c r="A1105" i="2" l="1"/>
  <c r="B1104" i="2"/>
  <c r="B1105" i="2" l="1"/>
  <c r="A1106" i="2"/>
  <c r="A1107" i="2" l="1"/>
  <c r="B1106" i="2"/>
  <c r="A1108" i="2" l="1"/>
  <c r="B1107" i="2"/>
  <c r="B1108" i="2" l="1"/>
  <c r="A1109" i="2"/>
  <c r="A1110" i="2" l="1"/>
  <c r="B1109" i="2"/>
  <c r="B1110" i="2" l="1"/>
  <c r="A1111" i="2"/>
  <c r="B1111" i="2" l="1"/>
  <c r="A1112" i="2"/>
  <c r="A1113" i="2" l="1"/>
  <c r="B1112" i="2"/>
  <c r="A1114" i="2" l="1"/>
  <c r="B1113" i="2"/>
  <c r="A1115" i="2" l="1"/>
  <c r="B1114" i="2"/>
  <c r="B1115" i="2" l="1"/>
  <c r="A1116" i="2"/>
  <c r="A1117" i="2" l="1"/>
  <c r="B1116" i="2"/>
  <c r="A1118" i="2" l="1"/>
  <c r="B1117" i="2"/>
  <c r="A1119" i="2" l="1"/>
  <c r="B1118" i="2"/>
  <c r="B1119" i="2" l="1"/>
  <c r="A1120" i="2"/>
  <c r="B1120" i="2" l="1"/>
  <c r="A1121" i="2"/>
  <c r="A1122" i="2" l="1"/>
  <c r="B1121" i="2"/>
  <c r="B1122" i="2" l="1"/>
  <c r="A1123" i="2"/>
  <c r="A1124" i="2" l="1"/>
  <c r="B1123" i="2"/>
  <c r="A1125" i="2" l="1"/>
  <c r="B1124" i="2"/>
  <c r="B1125" i="2" l="1"/>
  <c r="A1126" i="2"/>
  <c r="A1127" i="2" l="1"/>
  <c r="B1126" i="2"/>
  <c r="B1127" i="2" l="1"/>
  <c r="A1128" i="2"/>
  <c r="A1129" i="2" l="1"/>
  <c r="B1128" i="2"/>
  <c r="A1130" i="2" l="1"/>
  <c r="B1129" i="2"/>
  <c r="B1130" i="2" l="1"/>
  <c r="A1131" i="2"/>
  <c r="A1132" i="2" l="1"/>
  <c r="B1131" i="2"/>
  <c r="A1133" i="2" l="1"/>
  <c r="B1132" i="2"/>
  <c r="A1134" i="2" l="1"/>
  <c r="B1133" i="2"/>
  <c r="A1135" i="2" l="1"/>
  <c r="B1134" i="2"/>
  <c r="B1135" i="2" l="1"/>
  <c r="A1136" i="2"/>
  <c r="A1137" i="2" l="1"/>
  <c r="B1136" i="2"/>
  <c r="A1138" i="2" l="1"/>
  <c r="B1137" i="2"/>
  <c r="A1139" i="2" l="1"/>
  <c r="B1138" i="2"/>
  <c r="A1140" i="2" l="1"/>
  <c r="B1139" i="2"/>
  <c r="B1140" i="2" l="1"/>
  <c r="A1141" i="2"/>
  <c r="A1142" i="2" l="1"/>
  <c r="B1141" i="2"/>
  <c r="A1143" i="2" l="1"/>
  <c r="B1142" i="2"/>
  <c r="A1144" i="2" l="1"/>
  <c r="B1143" i="2"/>
  <c r="A1145" i="2" l="1"/>
  <c r="B1144" i="2"/>
  <c r="B1145" i="2" l="1"/>
  <c r="A1146" i="2"/>
  <c r="A1147" i="2" l="1"/>
  <c r="B1146" i="2"/>
  <c r="B1147" i="2" l="1"/>
  <c r="A1148" i="2"/>
  <c r="A1149" i="2" l="1"/>
  <c r="B1148" i="2"/>
  <c r="A1150" i="2" l="1"/>
  <c r="B1149" i="2"/>
  <c r="B1150" i="2" l="1"/>
  <c r="A1151" i="2"/>
  <c r="A1152" i="2" l="1"/>
  <c r="B1151" i="2"/>
  <c r="B1152" i="2" l="1"/>
  <c r="A1153" i="2"/>
  <c r="A1154" i="2" l="1"/>
  <c r="B1153" i="2"/>
  <c r="A1155" i="2" l="1"/>
  <c r="B1154" i="2"/>
  <c r="B1155" i="2" l="1"/>
  <c r="A1156" i="2"/>
  <c r="B1156" i="2" l="1"/>
  <c r="A1157" i="2"/>
  <c r="A1158" i="2" l="1"/>
  <c r="B1157" i="2"/>
  <c r="A1159" i="2" l="1"/>
  <c r="B1158" i="2"/>
  <c r="A1160" i="2" l="1"/>
  <c r="B1159" i="2"/>
  <c r="B1160" i="2" l="1"/>
  <c r="A1161" i="2"/>
  <c r="A1162" i="2" l="1"/>
  <c r="B1161" i="2"/>
  <c r="B1162" i="2" l="1"/>
  <c r="A1163" i="2"/>
  <c r="A1164" i="2" l="1"/>
  <c r="B1163" i="2"/>
  <c r="A1165" i="2" l="1"/>
  <c r="B1164" i="2"/>
  <c r="B1165" i="2" l="1"/>
  <c r="A1166" i="2"/>
  <c r="A1167" i="2" l="1"/>
  <c r="B1166" i="2"/>
  <c r="B1167" i="2" l="1"/>
  <c r="A1168" i="2"/>
  <c r="A1169" i="2" l="1"/>
  <c r="B1168" i="2"/>
  <c r="A1170" i="2" l="1"/>
  <c r="B1169" i="2"/>
  <c r="B1170" i="2" l="1"/>
  <c r="A1171" i="2"/>
  <c r="B1171" i="2" l="1"/>
  <c r="A1172" i="2"/>
  <c r="A1173" i="2" l="1"/>
  <c r="B1172" i="2"/>
  <c r="B1173" i="2" l="1"/>
  <c r="A1174" i="2"/>
  <c r="A1175" i="2" l="1"/>
  <c r="B1174" i="2"/>
  <c r="B1175" i="2" l="1"/>
  <c r="A1176" i="2"/>
  <c r="A1177" i="2" l="1"/>
  <c r="B1176" i="2"/>
  <c r="B1177" i="2" l="1"/>
  <c r="A1178" i="2"/>
  <c r="A1179" i="2" l="1"/>
  <c r="B1178" i="2"/>
  <c r="A1180" i="2" l="1"/>
  <c r="B1179" i="2"/>
  <c r="B1180" i="2" l="1"/>
  <c r="A1181" i="2"/>
  <c r="B1181" i="2" l="1"/>
  <c r="A1182" i="2"/>
  <c r="A1183" i="2" l="1"/>
  <c r="B1182" i="2"/>
  <c r="A1184" i="2" l="1"/>
  <c r="B1183" i="2"/>
  <c r="A1185" i="2" l="1"/>
  <c r="B1184" i="2"/>
  <c r="B1185" i="2" l="1"/>
  <c r="A1186" i="2"/>
  <c r="A1187" i="2" l="1"/>
  <c r="B1186" i="2"/>
  <c r="A1188" i="2" l="1"/>
  <c r="B1187" i="2"/>
  <c r="B1188" i="2" l="1"/>
  <c r="A1189" i="2"/>
  <c r="A1190" i="2" l="1"/>
  <c r="B1189" i="2"/>
  <c r="B1190" i="2" l="1"/>
  <c r="A1191" i="2"/>
  <c r="B1191" i="2" l="1"/>
  <c r="A1192" i="2"/>
  <c r="B1192" i="2" l="1"/>
  <c r="A1193" i="2"/>
  <c r="A1194" i="2" l="1"/>
  <c r="B1193" i="2"/>
  <c r="A1195" i="2" l="1"/>
  <c r="B1194" i="2"/>
  <c r="B1195" i="2" l="1"/>
  <c r="A1196" i="2"/>
  <c r="A1197" i="2" l="1"/>
  <c r="B1196" i="2"/>
  <c r="B1197" i="2" l="1"/>
  <c r="A1198" i="2"/>
  <c r="A1199" i="2" l="1"/>
  <c r="B1198" i="2"/>
  <c r="A1200" i="2" l="1"/>
  <c r="B1199" i="2"/>
  <c r="B1200" i="2" l="1"/>
  <c r="A1201" i="2"/>
  <c r="A1202" i="2" l="1"/>
  <c r="B1201" i="2"/>
  <c r="B1202" i="2" l="1"/>
  <c r="A1203" i="2"/>
  <c r="A1204" i="2" l="1"/>
  <c r="B1203" i="2"/>
  <c r="A1205" i="2" l="1"/>
  <c r="B1204" i="2"/>
  <c r="B1205" i="2" l="1"/>
  <c r="A1206" i="2"/>
  <c r="A1207" i="2" l="1"/>
  <c r="B1206" i="2"/>
  <c r="A1208" i="2" l="1"/>
  <c r="B1207" i="2"/>
  <c r="A1209" i="2" l="1"/>
  <c r="B1208" i="2"/>
  <c r="A1210" i="2" l="1"/>
  <c r="B1210" i="2" s="1"/>
  <c r="B12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ron</author>
  </authors>
  <commentList>
    <comment ref="M102" authorId="0" shapeId="0" xr:uid="{D2035E19-3585-7745-A2BD-6778ECDEF1AC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Ideal gas law ρ = P/(R·T) at 73°F (user-reported, Bellevue WA, sunny), sea-level standard pressure 101,325 Pa, R = 287.05 J/(kg·K). Rough estimate — ignores elevation (~60 m) and humidity, each well under 1%.</t>
        </r>
      </text>
    </comment>
    <comment ref="N102" authorId="0" shapeId="0" xr:uid="{065FF754-EB14-0245-AE78-668EE1FEECBC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Air density variation for </t>
        </r>
        <r>
          <rPr>
            <sz val="10"/>
            <color rgb="FF000000"/>
            <rFont val="Tahoma"/>
            <family val="2"/>
          </rPr>
          <t>±</t>
        </r>
        <r>
          <rPr>
            <sz val="10"/>
            <color rgb="FF000000"/>
            <rFont val="Tahoma"/>
            <family val="2"/>
          </rPr>
          <t>1</t>
        </r>
        <r>
          <rPr>
            <sz val="10"/>
            <color rgb="FF000000"/>
            <rFont val="Tahoma"/>
            <family val="2"/>
          </rPr>
          <t>°</t>
        </r>
        <r>
          <rPr>
            <sz val="10"/>
            <color rgb="FF000000"/>
            <rFont val="Tahoma"/>
            <family val="2"/>
          </rPr>
          <t>C around 20</t>
        </r>
        <r>
          <rPr>
            <sz val="10"/>
            <color rgb="FF000000"/>
            <rFont val="Tahoma"/>
            <family val="2"/>
          </rPr>
          <t>°</t>
        </r>
        <r>
          <rPr>
            <sz val="10"/>
            <color rgb="FF000000"/>
            <rFont val="Tahoma"/>
            <family val="2"/>
          </rPr>
          <t>C at standard pressure. Adjust if room temperature was less controlled.</t>
        </r>
      </text>
    </comment>
    <comment ref="N103" authorId="0" shapeId="0" xr:uid="{9AE95FF6-F779-8C46-8704-22F0299ACD40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Local variation of g from the 9.81 m/s² standard value.</t>
        </r>
      </text>
    </comment>
    <comment ref="N104" authorId="0" shapeId="0" xr:uid="{71E3A9D8-0962-874D-9576-6363ABBCB834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Propagated from diameter uncertainty: δA = 2·(δd/d)·A</t>
        </r>
      </text>
    </comment>
    <comment ref="M106" authorId="0" shapeId="0" xr:uid="{F65ED19A-FE37-BC4C-B464-F4148AE1CEC8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Position uncertainty of video tracking, per data point (user-specified).</t>
        </r>
      </text>
    </comment>
    <comment ref="M107" authorId="0" shapeId="0" xr:uid="{B32AD47D-9BBD-7841-BB6C-D55140F634A5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One frame period (1/60 s) used as the per-point timing uncertainty — conservative; frame timestamps are usually more precise than this.</t>
        </r>
      </text>
    </comment>
    <comment ref="C113" authorId="0" shapeId="0" xr:uid="{E12198BA-CA55-B843-9D2D-2780EA075E53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0.1 g for all balls (was text label)</t>
        </r>
      </text>
    </comment>
    <comment ref="E113" authorId="0" shapeId="0" xr:uid="{473FB812-F8C8-5045-A64C-E52FAAD08C47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uncertainty of the mean terminal velocity (m/s), per ball.
</t>
        </r>
        <r>
          <rPr>
            <sz val="10"/>
            <color rgb="FF000000"/>
            <rFont val="Tahoma"/>
            <family val="2"/>
          </rPr>
          <t>δv_total = √(δv_meas² + δv_exp²): measurement uncertainty (col I) and experimental/statistical uncertainty (col J) combined in quadrature, since the two sources are independent.</t>
        </r>
      </text>
    </comment>
    <comment ref="I113" authorId="0" shapeId="0" xr:uid="{D6ABA412-7688-124D-A5DE-DCDCC2C0330D}">
      <text>
        <r>
          <rPr>
            <b/>
            <sz val="10"/>
            <color rgb="FF000000"/>
            <rFont val="Tahoma"/>
            <family val="2"/>
          </rPr>
          <t xml:space="preserve">Measurement uncertainty of the mean terminal velocity (m/s), per ball.
</t>
        </r>
        <r>
          <rPr>
            <b/>
            <sz val="10"/>
            <color rgb="FF000000"/>
            <rFont val="Tahoma"/>
            <family val="2"/>
          </rPr>
          <t xml:space="preserve">δv = √(δy² + (v̄·δt)²) / √(Σ over all 5 trials of Σ(t−t̄)²), with δy = 0.07 m (M106), δt = 1/60 s (M107), v̄ = mean terminal velocity (H102).
</t>
        </r>
        <r>
          <rPr>
            <b/>
            <sz val="10"/>
            <color rgb="FF000000"/>
            <rFont val="Tahoma"/>
            <family val="2"/>
          </rPr>
          <t xml:space="preserve">Equivalent to combining the five trial slope errors in quadrature and dividing by 5 (since v_term is the 5-trial average).
</t>
        </r>
        <r>
          <rPr>
            <b/>
            <sz val="10"/>
            <color rgb="FF000000"/>
            <rFont val="Tahoma"/>
            <family val="2"/>
          </rPr>
          <t>Excludes trial-to-trial scatter and any drop-height calibration scale error.</t>
        </r>
      </text>
    </comment>
    <comment ref="J113" authorId="0" shapeId="0" xr:uid="{6E7FF3F0-58AC-0C4B-969C-AE75723EAA08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Experimental (statistical) uncertainty of the mean terminal velocity, per ball.
</t>
        </r>
        <r>
          <rPr>
            <sz val="10"/>
            <color rgb="FF000000"/>
            <rFont val="Tahoma"/>
            <family val="2"/>
          </rPr>
          <t xml:space="preserve">δv_exp = s/√N, where s = sample standard deviation of the 5 trial velocities (C102:G102) and N = 5.
</t>
        </r>
        <r>
          <rPr>
            <sz val="10"/>
            <color rgb="FF000000"/>
            <rFont val="Tahoma"/>
            <family val="2"/>
          </rPr>
          <t xml:space="preserve">This is the RMS trial-to-trial scatter reduced by √N because the reported terminal velocity (H102) is the 5-trial average.
</t>
        </r>
        <r>
          <rPr>
            <sz val="10"/>
            <color rgb="FF000000"/>
            <rFont val="Tahoma"/>
            <family val="2"/>
          </rPr>
          <t>Captures release variation, ball spin, air currents — anything that changes the result between trials. Independent of the measurement uncertainty in column I; combine the two in quadrature for total.</t>
        </r>
      </text>
    </comment>
    <comment ref="E114" authorId="0" shapeId="0" xr:uid="{18B5725B-0C46-9F49-A1FE-11F4E22526AE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uncertainty of the mean terminal velocity (m/s), per ball.
</t>
        </r>
        <r>
          <rPr>
            <sz val="10"/>
            <color rgb="FF000000"/>
            <rFont val="Tahoma"/>
            <family val="2"/>
          </rPr>
          <t>δv_total = √(δv_meas² + δv_exp²): measurement uncertainty (col I) and experimental/statistical uncertainty (col J) combined in quadrature, since the two sources are independent.</t>
        </r>
      </text>
    </comment>
    <comment ref="J114" authorId="0" shapeId="0" xr:uid="{C273DC32-E655-C24C-92C3-FAD1CE00B200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Experimental (statistical) uncertainty of the mean terminal velocity, per ball.
</t>
        </r>
        <r>
          <rPr>
            <sz val="10"/>
            <color rgb="FF000000"/>
            <rFont val="Tahoma"/>
            <family val="2"/>
          </rPr>
          <t xml:space="preserve">δv_exp = s/√N, where s = sample standard deviation of the 5 trial velocities (C102:G102) and N = 5.
</t>
        </r>
        <r>
          <rPr>
            <sz val="10"/>
            <color rgb="FF000000"/>
            <rFont val="Tahoma"/>
            <family val="2"/>
          </rPr>
          <t xml:space="preserve">This is the RMS trial-to-trial scatter reduced by √N because the reported terminal velocity (H102) is the 5-trial average.
</t>
        </r>
        <r>
          <rPr>
            <sz val="10"/>
            <color rgb="FF000000"/>
            <rFont val="Tahoma"/>
            <family val="2"/>
          </rPr>
          <t>Captures release variation, ball spin, air currents — anything that changes the result between trials. Independent of the measurement uncertainty in column I; combine the two in quadrature for total.</t>
        </r>
      </text>
    </comment>
    <comment ref="E115" authorId="0" shapeId="0" xr:uid="{FADE8C29-81B6-014A-9BD0-DBCEC1B150E1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uncertainty of the mean terminal velocity (m/s), per ball.
</t>
        </r>
        <r>
          <rPr>
            <sz val="10"/>
            <color rgb="FF000000"/>
            <rFont val="Tahoma"/>
            <family val="2"/>
          </rPr>
          <t>δv_total = √(δv_meas² + δv_exp²): measurement uncertainty (col I) and experimental/statistical uncertainty (col J) combined in quadrature, since the two sources are independent.</t>
        </r>
      </text>
    </comment>
    <comment ref="J115" authorId="0" shapeId="0" xr:uid="{A5DD4EBF-487E-2543-8483-BE66715FCFE9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Experimental (statistical) uncertainty of the mean terminal velocity, per ball.
</t>
        </r>
        <r>
          <rPr>
            <sz val="10"/>
            <color rgb="FF000000"/>
            <rFont val="Tahoma"/>
            <family val="2"/>
          </rPr>
          <t xml:space="preserve">δv_exp = s/√N, where s = sample standard deviation of the 5 trial velocities (C102:G102) and N = 5.
</t>
        </r>
        <r>
          <rPr>
            <sz val="10"/>
            <color rgb="FF000000"/>
            <rFont val="Tahoma"/>
            <family val="2"/>
          </rPr>
          <t xml:space="preserve">This is the RMS trial-to-trial scatter reduced by √N because the reported terminal velocity (H102) is the 5-trial average.
</t>
        </r>
        <r>
          <rPr>
            <sz val="10"/>
            <color rgb="FF000000"/>
            <rFont val="Tahoma"/>
            <family val="2"/>
          </rPr>
          <t>Captures release variation, ball spin, air currents — anything that changes the result between trials. Independent of the measurement uncertainty in column I; combine the two in quadrature for total.</t>
        </r>
      </text>
    </comment>
    <comment ref="E116" authorId="0" shapeId="0" xr:uid="{338AA947-2427-8843-9DE7-2E02799B4668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Total uncertainty of the mean terminal velocity (m/s), per ball.
δv_total = √(δv_meas² + δv_exp²): measurement uncertainty (col I) and experimental/statistical uncertainty (col J) combined in quadrature, since the two sources are independent.</t>
        </r>
      </text>
    </comment>
    <comment ref="J116" authorId="0" shapeId="0" xr:uid="{94C330F6-CD6D-8D4A-B547-E1D2B9932558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Experimental (statistical) uncertainty of the mean terminal velocity, per ball.
δv_exp = s/√N, where s = sample standard deviation of the 5 trial velocities (C102:G102) and N = 5.
This is the RMS trial-to-trial scatter reduced by √N because the reported terminal velocity (H102) is the 5-trial average.
Captures release variation, ball spin, air currents — anything that changes the result between trials. Independent of the measurement uncertainty in column I; combine the two in quadrature for total.</t>
        </r>
      </text>
    </comment>
    <comment ref="E117" authorId="0" shapeId="0" xr:uid="{81E1569E-B000-E04D-881F-8836B2F60333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uncertainty of the mean terminal velocity (m/s), per ball.
</t>
        </r>
        <r>
          <rPr>
            <sz val="10"/>
            <color rgb="FF000000"/>
            <rFont val="Tahoma"/>
            <family val="2"/>
          </rPr>
          <t>δv_total = √(δv_meas² + δv_exp²): measurement uncertainty (col I) and experimental/statistical uncertainty (col J) combined in quadrature, since the two sources are independent.</t>
        </r>
      </text>
    </comment>
    <comment ref="J117" authorId="0" shapeId="0" xr:uid="{85A9F567-AB70-3B46-8003-D496022179D7}">
      <text>
        <r>
          <rPr>
            <b/>
            <sz val="10"/>
            <color rgb="FF000000"/>
            <rFont val="Tahoma"/>
            <family val="2"/>
          </rPr>
          <t>Ronald ron:</t>
        </r>
        <r>
          <rPr>
            <sz val="10"/>
            <color rgb="FF000000"/>
            <rFont val="Tahoma"/>
            <family val="2"/>
          </rPr>
          <t xml:space="preserve">
Experimental (statistical) uncertainty of the mean terminal velocity, per ball.
δv_exp = s/√N, where s = sample standard deviation of the 5 trial velocities (C102:G102) and N = 5.
This is the RMS trial-to-trial scatter reduced by √N because the reported terminal velocity (H102) is the 5-trial average.
Captures release variation, ball spin, air currents — anything that changes the result between trials. Independent of the measurement uncertainty in column I; combine the two in quadrature for total.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<sst xmlns="http://schemas.openxmlformats.org/spreadsheetml/2006/main" count="153" uniqueCount="77">
  <si>
    <t>Mass vs. Velocity Summary</t>
  </si>
  <si>
    <t>Mass (g)</t>
  </si>
  <si>
    <t>Trial 1</t>
  </si>
  <si>
    <t>Trial 2</t>
  </si>
  <si>
    <t>Trial 3</t>
  </si>
  <si>
    <t>Trial 4</t>
  </si>
  <si>
    <t>Trial 5</t>
  </si>
  <si>
    <t>Trial 1 t (s)</t>
  </si>
  <si>
    <t>y (m)</t>
  </si>
  <si>
    <t>Trial 2 t (s)</t>
  </si>
  <si>
    <t>Trial 3 t (s)</t>
  </si>
  <si>
    <t>Trial 4 t (s)</t>
  </si>
  <si>
    <t>Trial 5 t (s)</t>
  </si>
  <si>
    <t>Mass A  —  mass = 2.83 g</t>
  </si>
  <si>
    <t>Mass B  —  mass = 3.92 g</t>
  </si>
  <si>
    <t>Mass C  —  mass = 5.3 g</t>
  </si>
  <si>
    <t>Mass D  —  mass = 6.12 g</t>
  </si>
  <si>
    <t>Mass E  —  mass = 7.59 g</t>
  </si>
  <si>
    <t>Terminal velocity (m/s)</t>
  </si>
  <si>
    <t>v_term (m/s):</t>
  </si>
  <si>
    <t>SUMMARY — Terminal Velocity vs. Mass</t>
  </si>
  <si>
    <t>m</t>
  </si>
  <si>
    <t>kg/m³</t>
  </si>
  <si>
    <t>gravity g</t>
  </si>
  <si>
    <t>m/s²</t>
  </si>
  <si>
    <t>frontal area A = πd²/4</t>
  </si>
  <si>
    <t>m²</t>
  </si>
  <si>
    <t>Cd</t>
  </si>
  <si>
    <t>drop height h</t>
  </si>
  <si>
    <t>ping pong ball diameter</t>
  </si>
  <si>
    <t>PHYSICAL CONSTANTS</t>
  </si>
  <si>
    <t>error treatement</t>
  </si>
  <si>
    <t>Parameter</t>
  </si>
  <si>
    <t>Value</t>
  </si>
  <si>
    <t>Error</t>
  </si>
  <si>
    <t>Unit</t>
  </si>
  <si>
    <t>air density (73°F)</t>
  </si>
  <si>
    <t>Exra information</t>
  </si>
  <si>
    <t>weather</t>
  </si>
  <si>
    <t>sunny</t>
  </si>
  <si>
    <t>temp</t>
  </si>
  <si>
    <t>73 f</t>
  </si>
  <si>
    <t>day</t>
  </si>
  <si>
    <t>terimnal velocity uncertainty (should include uncertainty from physical constants and from measurements (0.07m and 60hz video</t>
  </si>
  <si>
    <t>video position uncertainty δy</t>
  </si>
  <si>
    <t>video frame period δt (60 Hz)</t>
  </si>
  <si>
    <t>terminal velocity experimental uncertainty (rms)</t>
  </si>
  <si>
    <t>Mass Error (g)</t>
  </si>
  <si>
    <t>Terminal Velocity (m/s)</t>
  </si>
  <si>
    <t>Terminal Velocity Uncertainty (m/s)</t>
  </si>
  <si>
    <t>Drag Coefficient Analysis</t>
  </si>
  <si>
    <t>C_D</t>
  </si>
  <si>
    <t>δC_D</t>
  </si>
  <si>
    <t>δC_D / C_D</t>
  </si>
  <si>
    <t>the differences in cd can not be explained by only uncertainty</t>
  </si>
  <si>
    <t>Adjusted</t>
  </si>
  <si>
    <t>Terminal-velocity model — quadratic drag, ball dropped from rest</t>
  </si>
  <si>
    <t>Forward model (explicit): v(h) = v_t · √(1 − exp(−2·g·h / v_t²))  = speed after falling height h</t>
  </si>
  <si>
    <t>g and h are linked from Sheet1 constants. The table below is the model curve; Sheet1 looks up the measured v in column B and reads off v_t from column A — exact inversion, no iteration.</t>
  </si>
  <si>
    <t>v_t grid start (m/s)</t>
  </si>
  <si>
    <t>v_t grid step (m/s)</t>
  </si>
  <si>
    <t>v_t (m/s)</t>
  </si>
  <si>
    <t>predicted v after falling h (m/s)</t>
  </si>
  <si>
    <t>v measured (m/s)</t>
  </si>
  <si>
    <t>v_t adjusted (m/s)</t>
  </si>
  <si>
    <t>Cd adjusted</t>
  </si>
  <si>
    <t>Mean adjusted Cd</t>
  </si>
  <si>
    <t>δCd adjusted</t>
  </si>
  <si>
    <t>calculates expected V_measured for different terminal velocities, and then reverse calculates the terminal velocity.</t>
  </si>
  <si>
    <t>Model: v_meas² = v_t²·(1 − exp(−2·g·h/v_t²)), then Cd = 2·m·g/(ρ·A·v_t²).</t>
  </si>
  <si>
    <t>RMS deviation across masses</t>
  </si>
  <si>
    <t>RMS propagated δCd (per-ball error bars)</t>
  </si>
  <si>
    <t>Total error on adjusted Cd (rms combination)</t>
  </si>
  <si>
    <t>Mean Cd</t>
  </si>
  <si>
    <t>Mass A – Normalized</t>
  </si>
  <si>
    <t>t (s)</t>
  </si>
  <si>
    <t>Mass E –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</si>
</sst>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%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b/>
      <sz val="13"/>
      <color rgb="FFFFFFFF"/>
      <name val="Aptos Narrow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  <font>
      <sz val="11"/>
      <color rgb="FF0000FF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1F4E78"/>
      <name val="Aptos Narrow"/>
      <family val="2"/>
      <scheme val="minor"/>
    </font>
    <font>
      <b/>
      <sz val="12"/>
      <color rgb="FF1F4E78"/>
      <name val="Aptos Narrow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EFF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9DC3E6"/>
      </right>
      <top/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/>
      <top style="medium">
        <color rgb="FF1F4E78"/>
      </top>
      <bottom/>
      <diagonal/>
    </border>
    <border>
      <left style="thin">
        <color rgb="FF9DC3E6"/>
      </left>
      <right/>
      <top/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 style="thin">
        <color rgb="FF9DC3E6"/>
      </top>
      <bottom/>
      <diagonal/>
    </border>
    <border>
      <left style="medium">
        <color rgb="FF1F4E78"/>
      </left>
      <right/>
      <top style="thin">
        <color rgb="FF9DC3E6"/>
      </top>
      <bottom style="thin">
        <color rgb="FF9DC3E6"/>
      </bottom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 style="thin">
        <color rgb="FF9DC3E6"/>
      </top>
      <bottom/>
      <diagonal/>
    </border>
    <border>
      <left/>
      <right style="medium">
        <color rgb="FF1F4E78"/>
      </right>
      <top style="thin">
        <color rgb="FF9DC3E6"/>
      </top>
      <bottom style="thin">
        <color rgb="FF9DC3E6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9DC3E6"/>
      </left>
      <right style="thin">
        <color rgb="FF9DC3E6"/>
      </right>
      <top style="medium">
        <color rgb="FF1F4E78"/>
      </top>
      <bottom style="thin">
        <color rgb="FF9DC3E6"/>
      </bottom>
      <diagonal/>
    </border>
    <border>
      <left style="thin">
        <color rgb="FF9DC3E6"/>
      </left>
      <right/>
      <top style="medium">
        <color rgb="FF1F4E78"/>
      </top>
      <bottom style="medium">
        <color rgb="FF1F4E78"/>
      </bottom>
      <diagonal/>
    </border>
    <border>
      <left/>
      <right style="thin">
        <color rgb="FF9DC3E6"/>
      </right>
      <top style="medium">
        <color rgb="FF1F4E78"/>
      </top>
      <bottom style="medium">
        <color rgb="FF1F4E78"/>
      </bottom>
      <diagonal/>
    </border>
    <border>
      <left/>
      <right style="thin">
        <color rgb="FF9DC3E6"/>
      </right>
      <top/>
      <bottom style="medium">
        <color rgb="FF1F4E78"/>
      </bottom>
      <diagonal/>
    </border>
    <border>
      <left style="thin">
        <color rgb="FF9DC3E6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9DC3E6"/>
      </left>
      <right style="medium">
        <color rgb="FF1F4E78"/>
      </right>
      <top/>
      <bottom/>
      <diagonal/>
    </border>
    <border>
      <left style="thin">
        <color rgb="FF9DC3E6"/>
      </left>
      <right style="medium">
        <color rgb="FF1F4E78"/>
      </right>
      <top style="thin">
        <color rgb="FF9DC3E6"/>
      </top>
      <bottom/>
      <diagonal/>
    </border>
    <border>
      <left style="thin">
        <color rgb="FF9DC3E6"/>
      </left>
      <right style="medium">
        <color rgb="FF1F4E78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thin">
        <color rgb="FF9DC3E6"/>
      </right>
      <top style="medium">
        <color rgb="FF1F4E78"/>
      </top>
      <bottom style="thin">
        <color rgb="FF9DC3E6"/>
      </bottom>
      <diagonal/>
    </border>
    <border>
      <left style="thin">
        <color rgb="FF9DC3E6"/>
      </left>
      <right style="medium">
        <color rgb="FF1F4E78"/>
      </right>
      <top style="medium">
        <color rgb="FF1F4E78"/>
      </top>
      <bottom style="thin">
        <color rgb="FF9DC3E6"/>
      </bottom>
      <diagonal/>
    </border>
    <border>
      <left style="medium">
        <color rgb="FF1F4E78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8"/>
      </left>
      <right style="thin">
        <color rgb="FF9DC3E6"/>
      </right>
      <top style="thin">
        <color rgb="FF9DC3E6"/>
      </top>
      <bottom style="medium">
        <color rgb="FF1F4E78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4E78"/>
      </bottom>
      <diagonal/>
    </border>
    <border>
      <left style="thin">
        <color rgb="FF9DC3E6"/>
      </left>
      <right style="medium">
        <color rgb="FF1F4E78"/>
      </right>
      <top style="thin">
        <color rgb="FF9DC3E6"/>
      </top>
      <bottom style="medium">
        <color rgb="FF1F4E78"/>
      </bottom>
      <diagonal/>
    </border>
    <border>
      <left style="medium">
        <color rgb="FF1F4E78"/>
      </left>
      <right style="thin">
        <color rgb="FF9DC3E6"/>
      </right>
      <top style="thin">
        <color rgb="FF9DC3E6"/>
      </top>
      <bottom/>
      <diagonal/>
    </border>
    <border>
      <left style="medium">
        <color rgb="FF1F4E78"/>
      </left>
      <right style="thin">
        <color rgb="FF9DC3E6"/>
      </right>
      <top style="medium">
        <color rgb="FF1F4E78"/>
      </top>
      <bottom/>
      <diagonal/>
    </border>
    <border>
      <left style="thin">
        <color rgb="FF9DC3E6"/>
      </left>
      <right style="thin">
        <color rgb="FF9DC3E6"/>
      </right>
      <top style="medium">
        <color rgb="FF1F4E78"/>
      </top>
      <bottom/>
      <diagonal/>
    </border>
    <border>
      <left style="thin">
        <color rgb="FF9DC3E6"/>
      </left>
      <right style="medium">
        <color rgb="FF1F4E78"/>
      </right>
      <top style="medium">
        <color rgb="FF1F4E78"/>
      </top>
      <bottom/>
      <diagonal/>
    </border>
    <border>
      <left style="thin">
        <color rgb="FF2F5496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2F5496"/>
      </right>
      <top style="thin">
        <color rgb="FFAAAAAA"/>
      </top>
      <bottom style="thin">
        <color rgb="FFAAAAAA"/>
      </bottom>
      <diagonal/>
    </border>
    <border>
      <left style="thin">
        <color rgb="FF2F5496"/>
      </left>
      <right style="thin">
        <color rgb="FFAAAAAA"/>
      </right>
      <top style="thin">
        <color rgb="FFAAAAAA"/>
      </top>
      <bottom style="thin">
        <color rgb="FF2F549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2F5496"/>
      </bottom>
      <diagonal/>
    </border>
    <border>
      <left style="thin">
        <color rgb="FFAAAAAA"/>
      </left>
      <right style="thin">
        <color rgb="FF2F5496"/>
      </right>
      <top style="thin">
        <color rgb="FFAAAAAA"/>
      </top>
      <bottom style="thin">
        <color rgb="FF2F5496"/>
      </bottom>
      <diagonal/>
    </border>
    <border>
      <left style="thin">
        <color rgb="FF2F5496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2F5496"/>
      </right>
      <top/>
      <bottom style="thin">
        <color rgb="FFAAAAAA"/>
      </bottom>
      <diagonal/>
    </border>
    <border>
      <left style="thin">
        <color rgb="FF2F5496"/>
      </left>
      <right style="thin">
        <color rgb="FFAAAAAA"/>
      </right>
      <top style="thin">
        <color rgb="FF2F5496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2F5496"/>
      </top>
      <bottom style="thin">
        <color rgb="FFFFFFFF"/>
      </bottom>
      <diagonal/>
    </border>
    <border>
      <left style="thin">
        <color rgb="FFAAAAAA"/>
      </left>
      <right style="thin">
        <color rgb="FF2F5496"/>
      </right>
      <top style="thin">
        <color rgb="FF2F5496"/>
      </top>
      <bottom style="thin">
        <color rgb="FFFFFFFF"/>
      </bottom>
      <diagonal/>
    </border>
  </borders>
  <cellStyleXfs count="1">
    <xf numFmtId="0" fontId="0" fillId="0" borderId="0"/>
  </cellStyleXfs>
  <cellXfs count="141">
    <xf numFmtId="0" fontId="0" fillId="0" borderId="0" xfId="0"/>
    <xf numFmtId="165" fontId="0" fillId="0" borderId="0" xfId="0" applyNumberFormat="1"/>
    <xf numFmtId="0" fontId="2" fillId="0" borderId="0" xfId="0" applyFont="1"/>
    <xf numFmtId="0" fontId="1" fillId="2" borderId="0" xfId="0" applyFont="1" applyFill="1"/>
    <xf numFmtId="165" fontId="6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5" xfId="0" applyBorder="1"/>
    <xf numFmtId="165" fontId="6" fillId="2" borderId="6" xfId="0" applyNumberFormat="1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/>
    <xf numFmtId="165" fontId="6" fillId="2" borderId="10" xfId="0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5" fillId="0" borderId="0" xfId="0" applyNumberFormat="1" applyFont="1"/>
    <xf numFmtId="2" fontId="0" fillId="0" borderId="0" xfId="0" applyNumberFormat="1" applyAlignment="1">
      <alignment horizontal="center"/>
    </xf>
    <xf numFmtId="0" fontId="3" fillId="3" borderId="0" xfId="0" applyFont="1" applyFill="1"/>
    <xf numFmtId="2" fontId="0" fillId="0" borderId="0" xfId="0" applyNumberFormat="1"/>
    <xf numFmtId="165" fontId="9" fillId="7" borderId="18" xfId="0" applyNumberFormat="1" applyFont="1" applyFill="1" applyBorder="1" applyAlignment="1">
      <alignment horizontal="center" vertical="center"/>
    </xf>
    <xf numFmtId="165" fontId="9" fillId="7" borderId="19" xfId="0" applyNumberFormat="1" applyFont="1" applyFill="1" applyBorder="1" applyAlignment="1">
      <alignment horizontal="center" vertical="center"/>
    </xf>
    <xf numFmtId="165" fontId="9" fillId="7" borderId="17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5" fontId="9" fillId="7" borderId="21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2" fontId="9" fillId="6" borderId="25" xfId="0" applyNumberFormat="1" applyFont="1" applyFill="1" applyBorder="1" applyAlignment="1">
      <alignment horizontal="center" vertical="center"/>
    </xf>
    <xf numFmtId="2" fontId="9" fillId="6" borderId="26" xfId="0" applyNumberFormat="1" applyFont="1" applyFill="1" applyBorder="1" applyAlignment="1">
      <alignment horizontal="center" vertical="center"/>
    </xf>
    <xf numFmtId="2" fontId="9" fillId="6" borderId="27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165" fontId="9" fillId="4" borderId="30" xfId="0" applyNumberFormat="1" applyFont="1" applyFill="1" applyBorder="1" applyAlignment="1">
      <alignment horizontal="center" vertical="center"/>
    </xf>
    <xf numFmtId="165" fontId="9" fillId="4" borderId="31" xfId="0" applyNumberFormat="1" applyFont="1" applyFill="1" applyBorder="1" applyAlignment="1">
      <alignment horizontal="center" vertical="center"/>
    </xf>
    <xf numFmtId="165" fontId="9" fillId="4" borderId="32" xfId="0" applyNumberFormat="1" applyFont="1" applyFill="1" applyBorder="1" applyAlignment="1">
      <alignment horizontal="center" vertical="center"/>
    </xf>
    <xf numFmtId="2" fontId="9" fillId="6" borderId="24" xfId="0" applyNumberFormat="1" applyFont="1" applyFill="1" applyBorder="1" applyAlignment="1">
      <alignment horizontal="center" vertical="center"/>
    </xf>
    <xf numFmtId="165" fontId="9" fillId="4" borderId="29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165" fontId="9" fillId="4" borderId="12" xfId="0" applyNumberFormat="1" applyFont="1" applyFill="1" applyBorder="1" applyAlignment="1">
      <alignment horizontal="center" vertical="center"/>
    </xf>
    <xf numFmtId="165" fontId="9" fillId="4" borderId="13" xfId="0" applyNumberFormat="1" applyFont="1" applyFill="1" applyBorder="1" applyAlignment="1">
      <alignment horizontal="center" vertical="center"/>
    </xf>
    <xf numFmtId="165" fontId="9" fillId="4" borderId="14" xfId="0" applyNumberFormat="1" applyFont="1" applyFill="1" applyBorder="1" applyAlignment="1">
      <alignment horizontal="center" vertical="center"/>
    </xf>
    <xf numFmtId="165" fontId="9" fillId="4" borderId="37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165" fontId="9" fillId="7" borderId="39" xfId="0" applyNumberFormat="1" applyFont="1" applyFill="1" applyBorder="1" applyAlignment="1">
      <alignment horizontal="center" vertical="center"/>
    </xf>
    <xf numFmtId="165" fontId="9" fillId="7" borderId="40" xfId="0" applyNumberFormat="1" applyFont="1" applyFill="1" applyBorder="1" applyAlignment="1">
      <alignment horizontal="center" vertical="center"/>
    </xf>
    <xf numFmtId="165" fontId="9" fillId="7" borderId="41" xfId="0" applyNumberFormat="1" applyFont="1" applyFill="1" applyBorder="1" applyAlignment="1">
      <alignment horizontal="center" vertical="center"/>
    </xf>
    <xf numFmtId="165" fontId="9" fillId="7" borderId="42" xfId="0" applyNumberFormat="1" applyFon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9" fillId="6" borderId="45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0" fillId="0" borderId="20" xfId="0" applyBorder="1"/>
    <xf numFmtId="0" fontId="8" fillId="5" borderId="0" xfId="0" applyFont="1" applyFill="1" applyAlignment="1">
      <alignment horizontal="center"/>
    </xf>
    <xf numFmtId="0" fontId="8" fillId="5" borderId="50" xfId="0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/>
    </xf>
    <xf numFmtId="0" fontId="8" fillId="5" borderId="52" xfId="0" applyFont="1" applyFill="1" applyBorder="1" applyAlignment="1">
      <alignment horizontal="center"/>
    </xf>
    <xf numFmtId="0" fontId="10" fillId="7" borderId="34" xfId="0" applyFont="1" applyFill="1" applyBorder="1" applyAlignment="1">
      <alignment horizontal="center"/>
    </xf>
    <xf numFmtId="0" fontId="10" fillId="7" borderId="44" xfId="0" applyFont="1" applyFill="1" applyBorder="1" applyAlignment="1">
      <alignment horizontal="center"/>
    </xf>
    <xf numFmtId="0" fontId="10" fillId="7" borderId="41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7" borderId="40" xfId="0" applyFont="1" applyFill="1" applyBorder="1" applyAlignment="1">
      <alignment horizontal="center"/>
    </xf>
    <xf numFmtId="165" fontId="10" fillId="7" borderId="16" xfId="0" applyNumberFormat="1" applyFont="1" applyFill="1" applyBorder="1" applyAlignment="1">
      <alignment horizontal="center"/>
    </xf>
    <xf numFmtId="2" fontId="10" fillId="7" borderId="16" xfId="0" applyNumberFormat="1" applyFont="1" applyFill="1" applyBorder="1" applyAlignment="1">
      <alignment horizontal="center"/>
    </xf>
    <xf numFmtId="166" fontId="10" fillId="7" borderId="16" xfId="0" applyNumberFormat="1" applyFont="1" applyFill="1" applyBorder="1" applyAlignment="1">
      <alignment horizontal="center"/>
    </xf>
    <xf numFmtId="165" fontId="9" fillId="4" borderId="16" xfId="0" applyNumberFormat="1" applyFont="1" applyFill="1" applyBorder="1" applyAlignment="1">
      <alignment horizontal="center"/>
    </xf>
    <xf numFmtId="16" fontId="0" fillId="0" borderId="0" xfId="0" applyNumberFormat="1"/>
    <xf numFmtId="0" fontId="13" fillId="0" borderId="20" xfId="0" applyFont="1" applyBorder="1"/>
    <xf numFmtId="2" fontId="14" fillId="0" borderId="20" xfId="0" applyNumberFormat="1" applyFont="1" applyBorder="1"/>
    <xf numFmtId="0" fontId="15" fillId="6" borderId="0" xfId="0" applyFont="1" applyFill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" fillId="0" borderId="0" xfId="0" applyFont="1"/>
    <xf numFmtId="0" fontId="16" fillId="0" borderId="0" xfId="0" applyFont="1"/>
    <xf numFmtId="0" fontId="3" fillId="3" borderId="4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2" fontId="9" fillId="6" borderId="45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65" fontId="0" fillId="6" borderId="16" xfId="0" applyNumberFormat="1" applyFill="1" applyBorder="1" applyAlignment="1">
      <alignment horizontal="center" vertical="center"/>
    </xf>
    <xf numFmtId="165" fontId="0" fillId="6" borderId="41" xfId="0" applyNumberFormat="1" applyFill="1" applyBorder="1" applyAlignment="1">
      <alignment horizontal="center" vertical="center"/>
    </xf>
    <xf numFmtId="2" fontId="9" fillId="7" borderId="45" xfId="0" applyNumberFormat="1" applyFont="1" applyFill="1" applyBorder="1" applyAlignment="1">
      <alignment horizontal="center" vertical="center"/>
    </xf>
    <xf numFmtId="165" fontId="0" fillId="7" borderId="16" xfId="0" applyNumberFormat="1" applyFill="1" applyBorder="1" applyAlignment="1">
      <alignment horizontal="center" vertical="center"/>
    </xf>
    <xf numFmtId="165" fontId="0" fillId="7" borderId="41" xfId="0" applyNumberFormat="1" applyFill="1" applyBorder="1" applyAlignment="1">
      <alignment horizontal="center" vertical="center"/>
    </xf>
    <xf numFmtId="2" fontId="9" fillId="6" borderId="46" xfId="0" applyNumberFormat="1" applyFont="1" applyFill="1" applyBorder="1" applyAlignment="1">
      <alignment horizontal="center" vertical="center"/>
    </xf>
    <xf numFmtId="165" fontId="0" fillId="6" borderId="47" xfId="0" applyNumberFormat="1" applyFill="1" applyBorder="1" applyAlignment="1">
      <alignment horizontal="center" vertical="center"/>
    </xf>
    <xf numFmtId="165" fontId="0" fillId="6" borderId="48" xfId="0" applyNumberFormat="1" applyFill="1" applyBorder="1" applyAlignment="1">
      <alignment horizontal="center" vertical="center"/>
    </xf>
    <xf numFmtId="2" fontId="0" fillId="7" borderId="16" xfId="0" applyNumberFormat="1" applyFill="1" applyBorder="1" applyAlignment="1">
      <alignment horizontal="center" vertical="center"/>
    </xf>
    <xf numFmtId="2" fontId="0" fillId="6" borderId="16" xfId="0" applyNumberFormat="1" applyFill="1" applyBorder="1" applyAlignment="1">
      <alignment horizontal="center" vertical="center"/>
    </xf>
    <xf numFmtId="2" fontId="0" fillId="6" borderId="47" xfId="0" applyNumberFormat="1" applyFill="1" applyBorder="1" applyAlignment="1">
      <alignment horizontal="center" vertical="center"/>
    </xf>
    <xf numFmtId="0" fontId="17" fillId="0" borderId="0" xfId="0" applyFont="1"/>
    <xf numFmtId="0" fontId="8" fillId="3" borderId="4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2" fontId="10" fillId="6" borderId="45" xfId="0" applyNumberFormat="1" applyFont="1" applyFill="1" applyBorder="1" applyAlignment="1">
      <alignment horizontal="center" vertical="center"/>
    </xf>
    <xf numFmtId="2" fontId="10" fillId="7" borderId="45" xfId="0" applyNumberFormat="1" applyFont="1" applyFill="1" applyBorder="1" applyAlignment="1">
      <alignment horizontal="center" vertical="center"/>
    </xf>
    <xf numFmtId="2" fontId="10" fillId="6" borderId="46" xfId="0" applyNumberFormat="1" applyFont="1" applyFill="1" applyBorder="1" applyAlignment="1">
      <alignment horizontal="center" vertical="center"/>
    </xf>
    <xf numFmtId="164" fontId="10" fillId="6" borderId="16" xfId="0" applyNumberFormat="1" applyFont="1" applyFill="1" applyBorder="1" applyAlignment="1">
      <alignment horizontal="center" vertical="center"/>
    </xf>
    <xf numFmtId="164" fontId="10" fillId="7" borderId="16" xfId="0" applyNumberFormat="1" applyFont="1" applyFill="1" applyBorder="1" applyAlignment="1">
      <alignment horizontal="center" vertical="center"/>
    </xf>
    <xf numFmtId="164" fontId="10" fillId="6" borderId="47" xfId="0" applyNumberFormat="1" applyFont="1" applyFill="1" applyBorder="1" applyAlignment="1">
      <alignment horizontal="center" vertical="center"/>
    </xf>
    <xf numFmtId="167" fontId="10" fillId="6" borderId="41" xfId="0" applyNumberFormat="1" applyFont="1" applyFill="1" applyBorder="1" applyAlignment="1">
      <alignment horizontal="center" vertical="center"/>
    </xf>
    <xf numFmtId="167" fontId="10" fillId="7" borderId="41" xfId="0" applyNumberFormat="1" applyFont="1" applyFill="1" applyBorder="1" applyAlignment="1">
      <alignment horizontal="center" vertical="center"/>
    </xf>
    <xf numFmtId="167" fontId="10" fillId="6" borderId="48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8" fillId="0" borderId="0" xfId="0" applyFont="1"/>
    <xf numFmtId="165" fontId="1" fillId="0" borderId="0" xfId="0" applyNumberFormat="1" applyFont="1"/>
    <xf numFmtId="0" fontId="19" fillId="0" borderId="0" xfId="0" applyFont="1"/>
    <xf numFmtId="2" fontId="0" fillId="9" borderId="53" xfId="0" applyNumberFormat="1" applyFill="1" applyBorder="1" applyAlignment="1">
      <alignment horizontal="center"/>
    </xf>
    <xf numFmtId="2" fontId="0" fillId="9" borderId="54" xfId="0" applyNumberFormat="1" applyFill="1" applyBorder="1" applyAlignment="1">
      <alignment horizontal="center"/>
    </xf>
    <xf numFmtId="164" fontId="0" fillId="9" borderId="54" xfId="0" applyNumberFormat="1" applyFill="1" applyBorder="1" applyAlignment="1">
      <alignment horizontal="center"/>
    </xf>
    <xf numFmtId="164" fontId="0" fillId="9" borderId="55" xfId="0" applyNumberFormat="1" applyFill="1" applyBorder="1" applyAlignment="1">
      <alignment horizontal="center"/>
    </xf>
    <xf numFmtId="2" fontId="0" fillId="7" borderId="53" xfId="0" applyNumberFormat="1" applyFill="1" applyBorder="1" applyAlignment="1">
      <alignment horizontal="center"/>
    </xf>
    <xf numFmtId="2" fontId="0" fillId="7" borderId="54" xfId="0" applyNumberFormat="1" applyFill="1" applyBorder="1" applyAlignment="1">
      <alignment horizontal="center"/>
    </xf>
    <xf numFmtId="164" fontId="0" fillId="7" borderId="54" xfId="0" applyNumberFormat="1" applyFill="1" applyBorder="1" applyAlignment="1">
      <alignment horizontal="center"/>
    </xf>
    <xf numFmtId="164" fontId="0" fillId="7" borderId="55" xfId="0" applyNumberFormat="1" applyFill="1" applyBorder="1" applyAlignment="1">
      <alignment horizontal="center"/>
    </xf>
    <xf numFmtId="2" fontId="0" fillId="9" borderId="56" xfId="0" applyNumberFormat="1" applyFill="1" applyBorder="1" applyAlignment="1">
      <alignment horizontal="center"/>
    </xf>
    <xf numFmtId="2" fontId="0" fillId="9" borderId="57" xfId="0" applyNumberFormat="1" applyFill="1" applyBorder="1" applyAlignment="1">
      <alignment horizontal="center"/>
    </xf>
    <xf numFmtId="164" fontId="0" fillId="9" borderId="57" xfId="0" applyNumberFormat="1" applyFill="1" applyBorder="1" applyAlignment="1">
      <alignment horizontal="center"/>
    </xf>
    <xf numFmtId="164" fontId="0" fillId="9" borderId="58" xfId="0" applyNumberFormat="1" applyFill="1" applyBorder="1" applyAlignment="1">
      <alignment horizontal="center"/>
    </xf>
    <xf numFmtId="2" fontId="0" fillId="9" borderId="59" xfId="0" applyNumberFormat="1" applyFill="1" applyBorder="1" applyAlignment="1">
      <alignment horizontal="center"/>
    </xf>
    <xf numFmtId="2" fontId="0" fillId="9" borderId="60" xfId="0" applyNumberFormat="1" applyFill="1" applyBorder="1" applyAlignment="1">
      <alignment horizontal="center"/>
    </xf>
    <xf numFmtId="164" fontId="0" fillId="9" borderId="60" xfId="0" applyNumberFormat="1" applyFill="1" applyBorder="1" applyAlignment="1">
      <alignment horizontal="center"/>
    </xf>
    <xf numFmtId="164" fontId="0" fillId="9" borderId="61" xfId="0" applyNumberFormat="1" applyFill="1" applyBorder="1" applyAlignment="1">
      <alignment horizontal="center"/>
    </xf>
    <xf numFmtId="0" fontId="3" fillId="8" borderId="62" xfId="0" applyFont="1" applyFill="1" applyBorder="1" applyAlignment="1">
      <alignment horizontal="center" vertical="center"/>
    </xf>
    <xf numFmtId="0" fontId="3" fillId="8" borderId="63" xfId="0" applyFont="1" applyFill="1" applyBorder="1" applyAlignment="1">
      <alignment horizontal="center" vertical="center"/>
    </xf>
    <xf numFmtId="0" fontId="3" fillId="8" borderId="6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Mass vs. Drag Coefficient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C_D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Sheet1!$D$123:$D$127</c:f>
                <c:numCache>
                  <c:formatCode>General</c:formatCode>
                  <c:ptCount val="5"/>
                  <c:pt idx="0">
                    <c:v>4.068924408384407E-2</c:v>
                  </c:pt>
                  <c:pt idx="1">
                    <c:v>4.9522611130104047E-2</c:v>
                  </c:pt>
                  <c:pt idx="2">
                    <c:v>5.9387970895248526E-2</c:v>
                  </c:pt>
                  <c:pt idx="3">
                    <c:v>6.1039470446386537E-2</c:v>
                  </c:pt>
                  <c:pt idx="4">
                    <c:v>6.9105961721491485E-2</c:v>
                  </c:pt>
                </c:numCache>
              </c:numRef>
            </c:plus>
            <c:minus>
              <c:numRef>
                <c:f>Sheet1!$D$123:$D$127</c:f>
                <c:numCache>
                  <c:formatCode>General</c:formatCode>
                  <c:ptCount val="5"/>
                  <c:pt idx="0">
                    <c:v>4.068924408384407E-2</c:v>
                  </c:pt>
                  <c:pt idx="1">
                    <c:v>4.9522611130104047E-2</c:v>
                  </c:pt>
                  <c:pt idx="2">
                    <c:v>5.9387970895248526E-2</c:v>
                  </c:pt>
                  <c:pt idx="3">
                    <c:v>6.1039470446386537E-2</c:v>
                  </c:pt>
                  <c:pt idx="4">
                    <c:v>6.9105961721491485E-2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Sheet1!$B$123:$B$127</c:f>
              <c:numCache>
                <c:formatCode>0.00</c:formatCode>
                <c:ptCount val="5"/>
                <c:pt idx="0">
                  <c:v>2.83</c:v>
                </c:pt>
                <c:pt idx="1">
                  <c:v>3.92</c:v>
                </c:pt>
                <c:pt idx="2">
                  <c:v>5.3</c:v>
                </c:pt>
                <c:pt idx="3">
                  <c:v>6.12</c:v>
                </c:pt>
                <c:pt idx="4">
                  <c:v>7.59</c:v>
                </c:pt>
              </c:numCache>
            </c:numRef>
          </c:xVal>
          <c:yVal>
            <c:numRef>
              <c:f>Sheet1!$C$123:$C$127</c:f>
              <c:numCache>
                <c:formatCode>0.0000</c:formatCode>
                <c:ptCount val="5"/>
                <c:pt idx="0">
                  <c:v>0.45314237310662481</c:v>
                </c:pt>
                <c:pt idx="1">
                  <c:v>0.52908186070897678</c:v>
                </c:pt>
                <c:pt idx="2">
                  <c:v>0.59927696296403954</c:v>
                </c:pt>
                <c:pt idx="3">
                  <c:v>0.61341385465326093</c:v>
                </c:pt>
                <c:pt idx="4">
                  <c:v>0.695480822571654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E-3043-AF32-3F672A3D0F50}"/>
            </c:ext>
          </c:extLst>
        </c:ser>
        <c:ser>
          <c:idx val="1"/>
          <c:order val="1"/>
          <c:tx>
            <c:v>Mean C_D (0.58)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Sheet1!$B$130:$B$131</c:f>
              <c:numCache>
                <c:formatCode>General</c:formatCode>
                <c:ptCount val="2"/>
                <c:pt idx="0">
                  <c:v>2.83</c:v>
                </c:pt>
                <c:pt idx="1">
                  <c:v>7.59</c:v>
                </c:pt>
              </c:numCache>
            </c:numRef>
          </c:xVal>
          <c:yVal>
            <c:numRef>
              <c:f>Sheet1!$C$130:$C$131</c:f>
              <c:numCache>
                <c:formatCode>0.0000</c:formatCode>
                <c:ptCount val="2"/>
                <c:pt idx="0" formatCode="General">
                  <c:v>0.57807917480091109</c:v>
                </c:pt>
                <c:pt idx="1">
                  <c:v>0.57807917480091109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E-3043-AF32-3F672A3D0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556335"/>
        <c:axId val="837448591"/>
      </c:scatterChart>
      <c:valAx>
        <c:axId val="837556335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48591"/>
        <c:crosses val="autoZero"/>
        <c:crossBetween val="midCat"/>
        <c:majorUnit val="1"/>
      </c:valAx>
      <c:valAx>
        <c:axId val="837448591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Drag Coefficient (C_D)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55633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Mass vs.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measured (m/s)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Sheet1!$B$144:$B$148</c:f>
              <c:numCache>
                <c:formatCode>0.00</c:formatCode>
                <c:ptCount val="5"/>
                <c:pt idx="0">
                  <c:v>2.83</c:v>
                </c:pt>
                <c:pt idx="1">
                  <c:v>3.92</c:v>
                </c:pt>
                <c:pt idx="2">
                  <c:v>5.3</c:v>
                </c:pt>
                <c:pt idx="3">
                  <c:v>6.12</c:v>
                </c:pt>
                <c:pt idx="4">
                  <c:v>7.59</c:v>
                </c:pt>
              </c:numCache>
            </c:numRef>
          </c:xVal>
          <c:yVal>
            <c:numRef>
              <c:f>Sheet1!$C$144:$C$148</c:f>
              <c:numCache>
                <c:formatCode>0.00</c:formatCode>
                <c:ptCount val="5"/>
                <c:pt idx="0">
                  <c:v>9.0413604964555283</c:v>
                </c:pt>
                <c:pt idx="1">
                  <c:v>9.8478064140052375</c:v>
                </c:pt>
                <c:pt idx="2">
                  <c:v>10.759251232768348</c:v>
                </c:pt>
                <c:pt idx="3">
                  <c:v>11.427647248960378</c:v>
                </c:pt>
                <c:pt idx="4">
                  <c:v>11.951879715965191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A9-FA40-BF71-F1961553EB65}"/>
            </c:ext>
          </c:extLst>
        </c:ser>
        <c:ser>
          <c:idx val="1"/>
          <c:order val="1"/>
          <c:tx>
            <c:v>v_t adjusted (m/s)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Sheet1!$B$144:$B$148</c:f>
              <c:numCache>
                <c:formatCode>0.00</c:formatCode>
                <c:ptCount val="5"/>
                <c:pt idx="0">
                  <c:v>2.83</c:v>
                </c:pt>
                <c:pt idx="1">
                  <c:v>3.92</c:v>
                </c:pt>
                <c:pt idx="2">
                  <c:v>5.3</c:v>
                </c:pt>
                <c:pt idx="3">
                  <c:v>6.12</c:v>
                </c:pt>
                <c:pt idx="4">
                  <c:v>7.59</c:v>
                </c:pt>
              </c:numCache>
            </c:numRef>
          </c:xVal>
          <c:yVal>
            <c:numRef>
              <c:f>Sheet1!$D$144:$D$148</c:f>
              <c:numCache>
                <c:formatCode>0.00</c:formatCode>
                <c:ptCount val="5"/>
                <c:pt idx="0">
                  <c:v>9.3599999999999284</c:v>
                </c:pt>
                <c:pt idx="1">
                  <c:v>10.479999999999905</c:v>
                </c:pt>
                <c:pt idx="2">
                  <c:v>11.979999999999873</c:v>
                </c:pt>
                <c:pt idx="3">
                  <c:v>13.339999999999844</c:v>
                </c:pt>
                <c:pt idx="4">
                  <c:v>14.629999999999816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A9-FA40-BF71-F1961553E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7135"/>
        <c:axId val="837232335"/>
      </c:scatterChart>
      <c:valAx>
        <c:axId val="836887135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232335"/>
        <c:crosses val="autoZero"/>
        <c:crossBetween val="midCat"/>
        <c:majorUnit val="1"/>
      </c:valAx>
      <c:valAx>
        <c:axId val="837232335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87135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Position vs. Time, Lightest vs. Heaviest Ball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Lightest (2.83 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trendline>
            <c:name>Lightest ball slope; (-9.52m/s)</c:name>
            <c:spPr>
              <a:ln w="19050" cap="rnd">
                <a:solidFill>
                  <a:srgbClr val="4472C4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Sheet1!$AI$3:$AI$20</c:f>
              <c:numCache>
                <c:formatCode>0.0000</c:formatCode>
                <c:ptCount val="18"/>
                <c:pt idx="0">
                  <c:v>0</c:v>
                </c:pt>
                <c:pt idx="1">
                  <c:v>1.6666999999999987E-2</c:v>
                </c:pt>
                <c:pt idx="2">
                  <c:v>3.3333999999999975E-2</c:v>
                </c:pt>
                <c:pt idx="3">
                  <c:v>5.0000000000000266E-2</c:v>
                </c:pt>
                <c:pt idx="4">
                  <c:v>6.6667000000000254E-2</c:v>
                </c:pt>
                <c:pt idx="5">
                  <c:v>8.3334000000000241E-2</c:v>
                </c:pt>
                <c:pt idx="6">
                  <c:v>0.10000000000000009</c:v>
                </c:pt>
                <c:pt idx="7">
                  <c:v>0.11666700000000008</c:v>
                </c:pt>
                <c:pt idx="8">
                  <c:v>0.13333400000000006</c:v>
                </c:pt>
                <c:pt idx="9">
                  <c:v>0.14999999999999991</c:v>
                </c:pt>
                <c:pt idx="10">
                  <c:v>0.1666669999999999</c:v>
                </c:pt>
                <c:pt idx="11">
                  <c:v>0.18333399999999989</c:v>
                </c:pt>
                <c:pt idx="12">
                  <c:v>0.20000000000000018</c:v>
                </c:pt>
                <c:pt idx="13">
                  <c:v>0.21666700000000017</c:v>
                </c:pt>
                <c:pt idx="14">
                  <c:v>0.23333400000000015</c:v>
                </c:pt>
                <c:pt idx="15">
                  <c:v>0.25</c:v>
                </c:pt>
                <c:pt idx="16">
                  <c:v>0.26666699999999999</c:v>
                </c:pt>
                <c:pt idx="17">
                  <c:v>0.28333399999999997</c:v>
                </c:pt>
              </c:numCache>
            </c:numRef>
          </c:xVal>
          <c:yVal>
            <c:numRef>
              <c:f>Sheet1!$AJ$3:$AJ$20</c:f>
              <c:numCache>
                <c:formatCode>0.0000</c:formatCode>
                <c:ptCount val="18"/>
                <c:pt idx="0">
                  <c:v>0</c:v>
                </c:pt>
                <c:pt idx="1">
                  <c:v>-0.17093099999999972</c:v>
                </c:pt>
                <c:pt idx="2">
                  <c:v>-0.32836799999999977</c:v>
                </c:pt>
                <c:pt idx="3">
                  <c:v>-0.48130599999999979</c:v>
                </c:pt>
                <c:pt idx="4">
                  <c:v>-0.63424499999999973</c:v>
                </c:pt>
                <c:pt idx="5">
                  <c:v>-0.80517599999999989</c:v>
                </c:pt>
                <c:pt idx="6">
                  <c:v>-0.96710999999999991</c:v>
                </c:pt>
                <c:pt idx="7">
                  <c:v>-1.1200489999999999</c:v>
                </c:pt>
                <c:pt idx="8">
                  <c:v>-1.2774853999999998</c:v>
                </c:pt>
                <c:pt idx="9">
                  <c:v>-1.4439183</c:v>
                </c:pt>
                <c:pt idx="10">
                  <c:v>-1.6013548999999998</c:v>
                </c:pt>
                <c:pt idx="11">
                  <c:v>-1.7542931999999998</c:v>
                </c:pt>
                <c:pt idx="12">
                  <c:v>-1.9162279999999998</c:v>
                </c:pt>
                <c:pt idx="13">
                  <c:v>-2.0736645399999998</c:v>
                </c:pt>
                <c:pt idx="14">
                  <c:v>-2.2311010899999997</c:v>
                </c:pt>
                <c:pt idx="15">
                  <c:v>-2.3885375999999998</c:v>
                </c:pt>
                <c:pt idx="16">
                  <c:v>-2.5324795999999998</c:v>
                </c:pt>
                <c:pt idx="17">
                  <c:v>-2.7079088999999996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0-6946-A573-195E56487FFB}"/>
            </c:ext>
          </c:extLst>
        </c:ser>
        <c:ser>
          <c:idx val="1"/>
          <c:order val="1"/>
          <c:tx>
            <c:v>Heaviest (7.59 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trendline>
            <c:name>Heaviest ball slope; (-12.14m/s)</c:name>
            <c:spPr>
              <a:ln w="19050" cap="rnd">
                <a:solidFill>
                  <a:srgbClr val="ED7D31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Sheet1!$AL$3:$AL$13</c:f>
              <c:numCache>
                <c:formatCode>0.0000</c:formatCode>
                <c:ptCount val="11"/>
                <c:pt idx="0">
                  <c:v>0</c:v>
                </c:pt>
                <c:pt idx="1">
                  <c:v>1.6666999999999987E-2</c:v>
                </c:pt>
                <c:pt idx="2">
                  <c:v>3.3332999999999835E-2</c:v>
                </c:pt>
                <c:pt idx="3">
                  <c:v>4.9999999999999822E-2</c:v>
                </c:pt>
                <c:pt idx="4">
                  <c:v>6.666699999999981E-2</c:v>
                </c:pt>
                <c:pt idx="5">
                  <c:v>8.3332999999999879E-2</c:v>
                </c:pt>
                <c:pt idx="6">
                  <c:v>9.9999999999999867E-2</c:v>
                </c:pt>
                <c:pt idx="7">
                  <c:v>0.11666699999999985</c:v>
                </c:pt>
                <c:pt idx="8">
                  <c:v>0.13333299999999992</c:v>
                </c:pt>
                <c:pt idx="9">
                  <c:v>0.14999999999999991</c:v>
                </c:pt>
                <c:pt idx="10">
                  <c:v>0.1666669999999999</c:v>
                </c:pt>
              </c:numCache>
            </c:numRef>
          </c:xVal>
          <c:yVal>
            <c:numRef>
              <c:f>Sheet1!$AM$3:$AM$13</c:f>
              <c:numCache>
                <c:formatCode>0.0000</c:formatCode>
                <c:ptCount val="11"/>
                <c:pt idx="0">
                  <c:v>0</c:v>
                </c:pt>
                <c:pt idx="1">
                  <c:v>-0.20258500000000002</c:v>
                </c:pt>
                <c:pt idx="2">
                  <c:v>-0.40124950000000004</c:v>
                </c:pt>
                <c:pt idx="3">
                  <c:v>-0.60122059999999999</c:v>
                </c:pt>
                <c:pt idx="4">
                  <c:v>-0.80380570000000007</c:v>
                </c:pt>
                <c:pt idx="5">
                  <c:v>-1.0116187999999999</c:v>
                </c:pt>
                <c:pt idx="6">
                  <c:v>-1.2115899700000001</c:v>
                </c:pt>
                <c:pt idx="7">
                  <c:v>-1.4089471</c:v>
                </c:pt>
                <c:pt idx="8">
                  <c:v>-1.6180672</c:v>
                </c:pt>
                <c:pt idx="9">
                  <c:v>-1.8245734</c:v>
                </c:pt>
                <c:pt idx="10">
                  <c:v>-2.0206235000000001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20-6946-A573-195E56487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496175"/>
        <c:axId val="452774336"/>
      </c:scatterChart>
      <c:valAx>
        <c:axId val="1438496175"/>
        <c:scaling>
          <c:orientation val="minMax"/>
          <c:max val="0.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774336"/>
        <c:crosses val="autoZero"/>
        <c:crossBetween val="midCat"/>
        <c:majorUnit val="0.05"/>
      </c:valAx>
      <c:valAx>
        <c:axId val="452774336"/>
        <c:scaling>
          <c:orientation val="minMax"/>
          <c:max val="0.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496175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Mass vs. Adjusted Drag Coefficient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Adjusted C_D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0.1</c:v>
                </c:pt>
              </c:numLit>
            </c:plus>
            <c:minus>
              <c:numLit>
                <c:formatCode>General</c:formatCode>
                <c:ptCount val="1"/>
                <c:pt idx="0">
                  <c:v>0.1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Sheet1!$F$144:$F$148</c:f>
                <c:numCache>
                  <c:formatCode>General</c:formatCode>
                  <c:ptCount val="5"/>
                  <c:pt idx="0">
                    <c:v>4.4035864560088962E-2</c:v>
                  </c:pt>
                  <c:pt idx="1">
                    <c:v>5.7600779040568408E-2</c:v>
                  </c:pt>
                  <c:pt idx="2">
                    <c:v>7.611624709347245E-2</c:v>
                  </c:pt>
                  <c:pt idx="3">
                    <c:v>8.4301677787220058E-2</c:v>
                  </c:pt>
                  <c:pt idx="4">
                    <c:v>0.10269924079997458</c:v>
                  </c:pt>
                </c:numCache>
              </c:numRef>
            </c:plus>
            <c:minus>
              <c:numRef>
                <c:f>Sheet1!$F$144:$F$148</c:f>
                <c:numCache>
                  <c:formatCode>General</c:formatCode>
                  <c:ptCount val="5"/>
                  <c:pt idx="0">
                    <c:v>4.4035864560088962E-2</c:v>
                  </c:pt>
                  <c:pt idx="1">
                    <c:v>5.7600779040568408E-2</c:v>
                  </c:pt>
                  <c:pt idx="2">
                    <c:v>7.611624709347245E-2</c:v>
                  </c:pt>
                  <c:pt idx="3">
                    <c:v>8.4301677787220058E-2</c:v>
                  </c:pt>
                  <c:pt idx="4">
                    <c:v>0.10269924079997458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Sheet1!$B$144:$B$148</c:f>
              <c:numCache>
                <c:formatCode>0.00</c:formatCode>
                <c:ptCount val="5"/>
                <c:pt idx="0">
                  <c:v>2.83</c:v>
                </c:pt>
                <c:pt idx="1">
                  <c:v>3.92</c:v>
                </c:pt>
                <c:pt idx="2">
                  <c:v>5.3</c:v>
                </c:pt>
                <c:pt idx="3">
                  <c:v>6.12</c:v>
                </c:pt>
                <c:pt idx="4">
                  <c:v>7.59</c:v>
                </c:pt>
              </c:numCache>
            </c:numRef>
          </c:xVal>
          <c:yVal>
            <c:numRef>
              <c:f>Sheet1!$E$144:$E$148</c:f>
              <c:numCache>
                <c:formatCode>0.0000</c:formatCode>
                <c:ptCount val="5"/>
                <c:pt idx="0">
                  <c:v>0.42281515828592714</c:v>
                </c:pt>
                <c:pt idx="1">
                  <c:v>0.46717469681670376</c:v>
                </c:pt>
                <c:pt idx="2">
                  <c:v>0.48336816516254139</c:v>
                </c:pt>
                <c:pt idx="3">
                  <c:v>0.4501482578394817</c:v>
                </c:pt>
                <c:pt idx="4">
                  <c:v>0.46416130697908353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F-D943-B34D-713F4F2DF8B7}"/>
            </c:ext>
          </c:extLst>
        </c:ser>
        <c:ser>
          <c:idx val="1"/>
          <c:order val="1"/>
          <c:tx>
            <c:v>Mean C_D (0.46)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Sheet1!$B$144:$B$148</c:f>
              <c:numCache>
                <c:formatCode>0.00</c:formatCode>
                <c:ptCount val="5"/>
                <c:pt idx="0">
                  <c:v>2.83</c:v>
                </c:pt>
                <c:pt idx="1">
                  <c:v>3.92</c:v>
                </c:pt>
                <c:pt idx="2">
                  <c:v>5.3</c:v>
                </c:pt>
                <c:pt idx="3">
                  <c:v>6.12</c:v>
                </c:pt>
                <c:pt idx="4">
                  <c:v>7.59</c:v>
                </c:pt>
              </c:numCache>
            </c:numRef>
          </c:xVal>
          <c:yVal>
            <c:numRef>
              <c:f>Sheet1!$H$144:$H$148</c:f>
              <c:numCache>
                <c:formatCode>General</c:formatCode>
                <c:ptCount val="5"/>
                <c:pt idx="0">
                  <c:v>0.45753351701674755</c:v>
                </c:pt>
                <c:pt idx="1">
                  <c:v>0.45753351701674755</c:v>
                </c:pt>
                <c:pt idx="2">
                  <c:v>0.45753351701674755</c:v>
                </c:pt>
                <c:pt idx="3">
                  <c:v>0.45753351701674755</c:v>
                </c:pt>
                <c:pt idx="4">
                  <c:v>0.45753351701674755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F-D943-B34D-713F4F2D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905711"/>
        <c:axId val="498814191"/>
      </c:scatterChart>
      <c:valAx>
        <c:axId val="1719905711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8814191"/>
        <c:crosses val="autoZero"/>
        <c:crossBetween val="midCat"/>
        <c:majorUnit val="1"/>
      </c:valAx>
      <c:valAx>
        <c:axId val="498814191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Adjusted Drag Coefficient (C_D)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90571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92824</xdr:colOff>
      <xdr:row>120</xdr:row>
      <xdr:rowOff>79479</xdr:rowOff>
    </xdr:from>
    <xdr:to>
      <xdr:col>17</xdr:col>
      <xdr:colOff>550024</xdr:colOff>
      <xdr:row>140</xdr:row>
      <xdr:rowOff>28679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CED502-8530-3F7A-3AA1-888E841C5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372535</xdr:colOff>
      <xdr:row>140</xdr:row>
      <xdr:rowOff>33867</xdr:rowOff>
    </xdr:from>
    <xdr:to>
      <xdr:col>18</xdr:col>
      <xdr:colOff>156635</xdr:colOff>
      <xdr:row>158</xdr:row>
      <xdr:rowOff>135467</xdr:rowOff>
    </xdr:to>
    <xdr:graphicFrame macro="">
      <xdr:nvGraphicFramePr>
        <xdr:cNvPr id="22" name="Mass vs Velocity">
          <a:extLst>
            <a:ext uri="{FF2B5EF4-FFF2-40B4-BE49-F238E27FC236}">
              <a16:creationId xmlns:a16="http://schemas.microsoft.com/office/drawing/2014/main" id="{708EA2F1-9B52-9130-385A-1054DB1B4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650488</xdr:colOff>
      <xdr:row>4</xdr:row>
      <xdr:rowOff>77439</xdr:rowOff>
    </xdr:from>
    <xdr:to>
      <xdr:col>25</xdr:col>
      <xdr:colOff>269488</xdr:colOff>
      <xdr:row>24</xdr:row>
      <xdr:rowOff>64739</xdr:rowOff>
    </xdr:to>
    <xdr:graphicFrame macro="">
      <xdr:nvGraphicFramePr>
        <xdr:cNvPr id="23" name="Example Graph">
          <a:extLst>
            <a:ext uri="{FF2B5EF4-FFF2-40B4-BE49-F238E27FC236}">
              <a16:creationId xmlns:a16="http://schemas.microsoft.com/office/drawing/2014/main" id="{861381BE-6DCB-A9F7-0D8A-40FC0AF82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812800</xdr:colOff>
      <xdr:row>120</xdr:row>
      <xdr:rowOff>38100</xdr:rowOff>
    </xdr:from>
    <xdr:to>
      <xdr:col>28</xdr:col>
      <xdr:colOff>165100</xdr:colOff>
      <xdr:row>139</xdr:row>
      <xdr:rowOff>190500</xdr:rowOff>
    </xdr:to>
    <xdr:graphicFrame macro="">
      <xdr:nvGraphicFramePr>
        <xdr:cNvPr id="2" name="Chart 19">
          <a:extLst>
            <a:ext uri="{FF2B5EF4-FFF2-40B4-BE49-F238E27FC236}">
              <a16:creationId xmlns:a16="http://schemas.microsoft.com/office/drawing/2014/main" id="{55DB9933-23D6-B8B7-71BF-07ED77D6A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76C702-AB09-4147-ABC0-2F50BFD959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904209d-67b1-4db7-b1eb-a952c8267de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B845-6DD5-4023-86E2-48A0883B0162}">
  <dimension ref="A1:AM155"/>
  <sheetViews>
    <sheetView tabSelected="1" topLeftCell="D116" zoomScale="75" workbookViewId="0">
      <selection activeCell="R42" sqref="R42"/>
    </sheetView>
  </sheetViews>
  <sheetFormatPr baseColWidth="10" defaultColWidth="8.83203125" defaultRowHeight="15"/>
  <cols>
    <col min="1" max="1" width="8.1640625" customWidth="1"/>
    <col min="2" max="2" width="19.1640625" customWidth="1"/>
    <col min="3" max="3" width="20.33203125" customWidth="1"/>
    <col min="4" max="4" width="19.1640625" bestFit="1" customWidth="1"/>
    <col min="5" max="5" width="14.6640625" bestFit="1" customWidth="1"/>
    <col min="6" max="6" width="12.6640625" bestFit="1" customWidth="1"/>
    <col min="7" max="7" width="12.6640625" customWidth="1"/>
    <col min="8" max="8" width="9" bestFit="1" customWidth="1"/>
    <col min="10" max="10" width="8.5" customWidth="1"/>
    <col min="11" max="11" width="13.1640625" customWidth="1"/>
    <col min="12" max="12" width="18.1640625" customWidth="1"/>
    <col min="19" max="19" width="15.5" customWidth="1"/>
    <col min="28" max="41" width="12.33203125" customWidth="1"/>
  </cols>
  <sheetData>
    <row r="1" spans="1:39" ht="16">
      <c r="A1" s="2" t="s">
        <v>0</v>
      </c>
      <c r="AI1" t="s">
        <v>74</v>
      </c>
      <c r="AL1" t="s">
        <v>76</v>
      </c>
    </row>
    <row r="2" spans="1:39" ht="16" thickBot="1">
      <c r="AI2" t="s">
        <v>75</v>
      </c>
      <c r="AJ2" t="s">
        <v>8</v>
      </c>
      <c r="AL2" t="s">
        <v>75</v>
      </c>
      <c r="AM2" t="s">
        <v>8</v>
      </c>
    </row>
    <row r="3" spans="1:39" ht="16">
      <c r="B3" s="138" t="s">
        <v>13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  <c r="AI3" s="108">
        <f>B6-$B$6</f>
        <v>0</v>
      </c>
      <c r="AJ3" s="108">
        <f>C6-$C$6</f>
        <v>0</v>
      </c>
      <c r="AL3" s="108">
        <f>B84-$B$84</f>
        <v>0</v>
      </c>
      <c r="AM3" s="108">
        <f>C84-$C$84</f>
        <v>0</v>
      </c>
    </row>
    <row r="4" spans="1:39">
      <c r="B4" s="7" t="s">
        <v>19</v>
      </c>
      <c r="C4">
        <f>SLOPE(C6:C23,B6:B23)</f>
        <v>-9.5211121671820163</v>
      </c>
      <c r="E4" t="s">
        <v>19</v>
      </c>
      <c r="F4">
        <f>SLOPE(F6:F19,E6:E19)</f>
        <v>-9.1797923535645705</v>
      </c>
      <c r="H4" t="s">
        <v>19</v>
      </c>
      <c r="I4">
        <f>SLOPE(I6:I19,H6:H19)</f>
        <v>-8.8354150457312848</v>
      </c>
      <c r="K4" t="s">
        <v>19</v>
      </c>
      <c r="L4">
        <v>-8.8870698025979706</v>
      </c>
      <c r="N4" t="s">
        <v>19</v>
      </c>
      <c r="O4" s="11">
        <v>-8.7834131132017994</v>
      </c>
      <c r="AI4" s="108">
        <f t="shared" ref="AI4:AI20" si="0">B7-$B$6</f>
        <v>1.6666999999999987E-2</v>
      </c>
      <c r="AJ4" s="108">
        <f t="shared" ref="AJ4:AJ20" si="1">C7-$C$6</f>
        <v>-0.17093099999999972</v>
      </c>
      <c r="AL4" s="108">
        <f t="shared" ref="AL4:AL13" si="2">B85-$B$84</f>
        <v>1.6666999999999987E-2</v>
      </c>
      <c r="AM4" s="108">
        <f t="shared" ref="AM4:AM13" si="3">C85-$C$84</f>
        <v>-0.20258500000000002</v>
      </c>
    </row>
    <row r="5" spans="1:39">
      <c r="B5" s="8" t="s">
        <v>7</v>
      </c>
      <c r="C5" s="4" t="s">
        <v>8</v>
      </c>
      <c r="D5" s="4"/>
      <c r="E5" s="4" t="s">
        <v>9</v>
      </c>
      <c r="F5" s="4" t="s">
        <v>8</v>
      </c>
      <c r="G5" s="4"/>
      <c r="H5" s="4" t="s">
        <v>10</v>
      </c>
      <c r="I5" s="4" t="s">
        <v>8</v>
      </c>
      <c r="J5" s="4"/>
      <c r="K5" s="4" t="s">
        <v>11</v>
      </c>
      <c r="L5" s="4" t="s">
        <v>8</v>
      </c>
      <c r="M5" s="4"/>
      <c r="N5" s="4" t="s">
        <v>12</v>
      </c>
      <c r="O5" s="12" t="s">
        <v>8</v>
      </c>
      <c r="AI5" s="108">
        <f t="shared" si="0"/>
        <v>3.3333999999999975E-2</v>
      </c>
      <c r="AJ5" s="108">
        <f t="shared" si="1"/>
        <v>-0.32836799999999977</v>
      </c>
      <c r="AL5" s="108">
        <f t="shared" si="2"/>
        <v>3.3332999999999835E-2</v>
      </c>
      <c r="AM5" s="108">
        <f t="shared" si="3"/>
        <v>-0.40124950000000004</v>
      </c>
    </row>
    <row r="6" spans="1:39">
      <c r="B6" s="9">
        <v>2.1333329999999999</v>
      </c>
      <c r="C6" s="5">
        <v>2.1568809999999998</v>
      </c>
      <c r="D6" s="5"/>
      <c r="E6" s="5">
        <v>2.3333330000000001</v>
      </c>
      <c r="F6" s="5">
        <v>1.183994</v>
      </c>
      <c r="G6" s="5"/>
      <c r="H6" s="5">
        <v>1.9166669999999999</v>
      </c>
      <c r="I6" s="5">
        <v>1.153114</v>
      </c>
      <c r="J6" s="5"/>
      <c r="K6" s="5">
        <v>1.8833329999999999</v>
      </c>
      <c r="L6" s="5">
        <v>1.3028489999999999</v>
      </c>
      <c r="M6" s="5"/>
      <c r="N6" s="5">
        <v>1.9666669999999999</v>
      </c>
      <c r="O6" s="13">
        <v>1.0695650000000001</v>
      </c>
      <c r="AI6" s="108">
        <f t="shared" si="0"/>
        <v>5.0000000000000266E-2</v>
      </c>
      <c r="AJ6" s="108">
        <f t="shared" si="1"/>
        <v>-0.48130599999999979</v>
      </c>
      <c r="AL6" s="108">
        <f t="shared" si="2"/>
        <v>4.9999999999999822E-2</v>
      </c>
      <c r="AM6" s="108">
        <f t="shared" si="3"/>
        <v>-0.60122059999999999</v>
      </c>
    </row>
    <row r="7" spans="1:39">
      <c r="B7" s="9">
        <v>2.15</v>
      </c>
      <c r="C7" s="5">
        <v>1.9859500000000001</v>
      </c>
      <c r="D7" s="5"/>
      <c r="E7" s="5">
        <v>2.35</v>
      </c>
      <c r="F7" s="5">
        <v>1.027094</v>
      </c>
      <c r="G7" s="5"/>
      <c r="H7" s="5">
        <v>1.933333</v>
      </c>
      <c r="I7" s="5">
        <v>1.006607</v>
      </c>
      <c r="J7" s="5"/>
      <c r="K7" s="5">
        <v>1.9</v>
      </c>
      <c r="L7" s="5">
        <v>1.145295</v>
      </c>
      <c r="M7" s="5"/>
      <c r="N7" s="5">
        <v>1.983333</v>
      </c>
      <c r="O7" s="13">
        <v>0.91696109999999997</v>
      </c>
      <c r="AI7" s="108">
        <f t="shared" si="0"/>
        <v>6.6667000000000254E-2</v>
      </c>
      <c r="AJ7" s="108">
        <f t="shared" si="1"/>
        <v>-0.63424499999999973</v>
      </c>
      <c r="AL7" s="108">
        <f t="shared" si="2"/>
        <v>6.666699999999981E-2</v>
      </c>
      <c r="AM7" s="108">
        <f t="shared" si="3"/>
        <v>-0.80380570000000007</v>
      </c>
    </row>
    <row r="8" spans="1:39">
      <c r="B8" s="9">
        <v>2.1666669999999999</v>
      </c>
      <c r="C8" s="5">
        <v>1.8285130000000001</v>
      </c>
      <c r="D8" s="5"/>
      <c r="E8" s="5">
        <v>2.3666670000000001</v>
      </c>
      <c r="F8" s="5">
        <v>0.8750211</v>
      </c>
      <c r="G8" s="5"/>
      <c r="H8" s="5">
        <v>1.95</v>
      </c>
      <c r="I8" s="5">
        <v>0.85757340000000004</v>
      </c>
      <c r="J8" s="5"/>
      <c r="K8" s="5">
        <v>1.9166669999999999</v>
      </c>
      <c r="L8" s="5">
        <v>0.99986109999999995</v>
      </c>
      <c r="M8" s="5"/>
      <c r="N8" s="5">
        <v>2</v>
      </c>
      <c r="O8" s="13">
        <v>0.76435730000000002</v>
      </c>
      <c r="AI8" s="108">
        <f t="shared" si="0"/>
        <v>8.3334000000000241E-2</v>
      </c>
      <c r="AJ8" s="108">
        <f t="shared" si="1"/>
        <v>-0.80517599999999989</v>
      </c>
      <c r="AL8" s="108">
        <f t="shared" si="2"/>
        <v>8.3332999999999879E-2</v>
      </c>
      <c r="AM8" s="108">
        <f t="shared" si="3"/>
        <v>-1.0116187999999999</v>
      </c>
    </row>
    <row r="9" spans="1:39">
      <c r="B9" s="9">
        <v>2.1833330000000002</v>
      </c>
      <c r="C9" s="5">
        <v>1.675575</v>
      </c>
      <c r="D9" s="5"/>
      <c r="E9" s="5">
        <v>2.3833329999999999</v>
      </c>
      <c r="F9" s="5">
        <v>0.73019009999999995</v>
      </c>
      <c r="G9" s="5"/>
      <c r="H9" s="5">
        <v>1.9666669999999999</v>
      </c>
      <c r="I9" s="5">
        <v>0.70096199999999997</v>
      </c>
      <c r="J9" s="5"/>
      <c r="K9" s="5">
        <v>1.933333</v>
      </c>
      <c r="L9" s="5">
        <v>0.84533709999999995</v>
      </c>
      <c r="M9" s="5"/>
      <c r="N9" s="5">
        <v>2.016667</v>
      </c>
      <c r="O9" s="13">
        <v>0.61978540000000004</v>
      </c>
      <c r="AI9" s="108">
        <f t="shared" si="0"/>
        <v>0.10000000000000009</v>
      </c>
      <c r="AJ9" s="108">
        <f t="shared" si="1"/>
        <v>-0.96710999999999991</v>
      </c>
      <c r="AL9" s="108">
        <f t="shared" si="2"/>
        <v>9.9999999999999867E-2</v>
      </c>
      <c r="AM9" s="108">
        <f t="shared" si="3"/>
        <v>-1.2115899700000001</v>
      </c>
    </row>
    <row r="10" spans="1:39">
      <c r="B10" s="9">
        <v>2.2000000000000002</v>
      </c>
      <c r="C10" s="5">
        <v>1.5226360000000001</v>
      </c>
      <c r="D10" s="5"/>
      <c r="E10" s="5">
        <v>2.4</v>
      </c>
      <c r="F10" s="5">
        <v>0.57570359999999998</v>
      </c>
      <c r="G10" s="5"/>
      <c r="H10" s="5">
        <v>1.983333</v>
      </c>
      <c r="I10" s="5">
        <v>0.55950659999999997</v>
      </c>
      <c r="J10" s="5"/>
      <c r="K10" s="5">
        <v>1.95</v>
      </c>
      <c r="L10" s="5">
        <v>0.69687290000000002</v>
      </c>
      <c r="M10" s="5"/>
      <c r="N10" s="5">
        <v>2.0333329999999998</v>
      </c>
      <c r="O10" s="13">
        <v>0.46718159999999997</v>
      </c>
      <c r="AA10" s="3"/>
      <c r="AI10" s="108">
        <f t="shared" si="0"/>
        <v>0.11666700000000008</v>
      </c>
      <c r="AJ10" s="108">
        <f t="shared" si="1"/>
        <v>-1.1200489999999999</v>
      </c>
      <c r="AL10" s="108">
        <f t="shared" si="2"/>
        <v>0.11666699999999985</v>
      </c>
      <c r="AM10" s="108">
        <f t="shared" si="3"/>
        <v>-1.4089471</v>
      </c>
    </row>
    <row r="11" spans="1:39">
      <c r="B11" s="48">
        <v>2.2166670000000002</v>
      </c>
      <c r="C11" s="49">
        <v>1.3517049999999999</v>
      </c>
      <c r="D11" s="49"/>
      <c r="E11" s="49">
        <v>2.4166669999999999</v>
      </c>
      <c r="F11" s="49">
        <v>0.4260448</v>
      </c>
      <c r="G11" s="49"/>
      <c r="H11" s="49">
        <v>2</v>
      </c>
      <c r="I11" s="49">
        <v>0.41805120000000001</v>
      </c>
      <c r="J11" s="49"/>
      <c r="K11" s="49">
        <v>1.9666669999999999</v>
      </c>
      <c r="L11" s="49">
        <v>0.5514386</v>
      </c>
      <c r="M11" s="49"/>
      <c r="N11" s="49">
        <v>2.0499999999999998</v>
      </c>
      <c r="O11" s="50">
        <v>0.3226097</v>
      </c>
      <c r="AI11" s="108">
        <f t="shared" si="0"/>
        <v>0.13333400000000006</v>
      </c>
      <c r="AJ11" s="108">
        <f t="shared" si="1"/>
        <v>-1.2774853999999998</v>
      </c>
      <c r="AL11" s="108">
        <f t="shared" si="2"/>
        <v>0.13333299999999992</v>
      </c>
      <c r="AM11" s="108">
        <f t="shared" si="3"/>
        <v>-1.6180672</v>
      </c>
    </row>
    <row r="12" spans="1:39">
      <c r="B12" s="9">
        <v>2.233333</v>
      </c>
      <c r="C12" s="5">
        <v>1.1897709999999999</v>
      </c>
      <c r="D12" s="5"/>
      <c r="E12" s="5">
        <v>2.4333330000000002</v>
      </c>
      <c r="F12" s="5">
        <v>0.2739721</v>
      </c>
      <c r="G12" s="5"/>
      <c r="H12" s="5">
        <v>2.016667</v>
      </c>
      <c r="I12" s="5">
        <v>0.2715439</v>
      </c>
      <c r="J12" s="5"/>
      <c r="K12" s="5">
        <v>1.983333</v>
      </c>
      <c r="L12" s="5">
        <v>0.39388469999999998</v>
      </c>
      <c r="M12" s="5"/>
      <c r="N12" s="5">
        <v>2.0666669999999998</v>
      </c>
      <c r="O12" s="13">
        <v>0.1753604</v>
      </c>
      <c r="AI12" s="108">
        <f t="shared" si="0"/>
        <v>0.14999999999999991</v>
      </c>
      <c r="AJ12" s="108">
        <f t="shared" si="1"/>
        <v>-1.4439183</v>
      </c>
      <c r="AL12" s="108">
        <f t="shared" si="2"/>
        <v>0.14999999999999991</v>
      </c>
      <c r="AM12" s="108">
        <f t="shared" si="3"/>
        <v>-1.8245734</v>
      </c>
    </row>
    <row r="13" spans="1:39">
      <c r="B13" s="9">
        <v>2.25</v>
      </c>
      <c r="C13" s="5">
        <v>1.036832</v>
      </c>
      <c r="D13" s="5"/>
      <c r="E13" s="5">
        <v>2.4500000000000002</v>
      </c>
      <c r="F13" s="5">
        <v>0.1194856</v>
      </c>
      <c r="G13" s="5"/>
      <c r="H13" s="5">
        <v>2.0333329999999998</v>
      </c>
      <c r="I13" s="5">
        <v>0.11998449999999999</v>
      </c>
      <c r="J13" s="5"/>
      <c r="K13" s="5">
        <v>2</v>
      </c>
      <c r="L13" s="5">
        <v>0.25148019999999999</v>
      </c>
      <c r="M13" s="5"/>
      <c r="N13" s="5">
        <v>2.0833330000000001</v>
      </c>
      <c r="O13" s="13">
        <v>2.8111219999999999E-2</v>
      </c>
      <c r="AI13" s="108">
        <f t="shared" si="0"/>
        <v>0.1666669999999999</v>
      </c>
      <c r="AJ13" s="108">
        <f t="shared" si="1"/>
        <v>-1.6013548999999998</v>
      </c>
      <c r="AL13" s="108">
        <f t="shared" si="2"/>
        <v>0.1666669999999999</v>
      </c>
      <c r="AM13" s="108">
        <f t="shared" si="3"/>
        <v>-2.0206235000000001</v>
      </c>
    </row>
    <row r="14" spans="1:39">
      <c r="B14" s="9">
        <v>2.266667</v>
      </c>
      <c r="C14" s="5">
        <v>0.87939560000000006</v>
      </c>
      <c r="D14" s="5"/>
      <c r="E14" s="5">
        <v>2.4666670000000002</v>
      </c>
      <c r="F14" s="5">
        <v>-2.7759289999999999E-2</v>
      </c>
      <c r="G14" s="5"/>
      <c r="H14" s="5">
        <v>2.0499999999999998</v>
      </c>
      <c r="I14" s="5">
        <v>-2.1470909999999999E-2</v>
      </c>
      <c r="J14" s="5"/>
      <c r="K14" s="5">
        <v>2.016667</v>
      </c>
      <c r="L14" s="5">
        <v>9.6956230000000004E-2</v>
      </c>
      <c r="M14" s="5"/>
      <c r="N14" s="5">
        <v>2.1</v>
      </c>
      <c r="O14" s="13">
        <v>-0.12984699999999999</v>
      </c>
      <c r="AI14" s="108">
        <f t="shared" si="0"/>
        <v>0.18333399999999989</v>
      </c>
      <c r="AJ14" s="108">
        <f t="shared" si="1"/>
        <v>-1.7542931999999998</v>
      </c>
    </row>
    <row r="15" spans="1:39">
      <c r="B15" s="9">
        <v>2.2833329999999998</v>
      </c>
      <c r="C15" s="5">
        <v>0.71296269999999995</v>
      </c>
      <c r="D15" s="5"/>
      <c r="E15" s="5">
        <v>2.483333</v>
      </c>
      <c r="F15" s="5">
        <v>-0.1870735</v>
      </c>
      <c r="G15" s="5"/>
      <c r="H15" s="5">
        <v>2.0666669999999998</v>
      </c>
      <c r="I15" s="5">
        <v>-0.1730303</v>
      </c>
      <c r="J15" s="5"/>
      <c r="K15" s="5">
        <v>2.0333329999999998</v>
      </c>
      <c r="L15" s="5">
        <v>-4.241835E-2</v>
      </c>
      <c r="M15" s="5"/>
      <c r="N15" s="5">
        <v>2.1166670000000001</v>
      </c>
      <c r="O15" s="13">
        <v>-0.26103270000000001</v>
      </c>
      <c r="AI15" s="108">
        <f t="shared" si="0"/>
        <v>0.20000000000000018</v>
      </c>
      <c r="AJ15" s="108">
        <f t="shared" si="1"/>
        <v>-1.9162279999999998</v>
      </c>
    </row>
    <row r="16" spans="1:39">
      <c r="B16" s="9">
        <v>2.2999999999999998</v>
      </c>
      <c r="C16" s="5">
        <v>0.55552610000000002</v>
      </c>
      <c r="D16" s="5"/>
      <c r="E16" s="5">
        <v>2.5</v>
      </c>
      <c r="F16" s="5">
        <v>-0.34729179999999998</v>
      </c>
      <c r="G16" s="5"/>
      <c r="H16" s="5">
        <v>2.0833330000000001</v>
      </c>
      <c r="I16" s="5">
        <v>-0.32206360000000001</v>
      </c>
      <c r="J16" s="5"/>
      <c r="K16" s="5">
        <v>2.0499999999999998</v>
      </c>
      <c r="L16" s="5">
        <v>-0.20603199999999999</v>
      </c>
      <c r="M16" s="5"/>
      <c r="N16" s="5">
        <v>2.1333329999999999</v>
      </c>
      <c r="O16" s="13">
        <v>-0.40828189999999998</v>
      </c>
      <c r="AI16" s="108">
        <f t="shared" si="0"/>
        <v>0.21666700000000017</v>
      </c>
      <c r="AJ16" s="108">
        <f t="shared" si="1"/>
        <v>-2.0736645399999998</v>
      </c>
    </row>
    <row r="17" spans="2:36">
      <c r="B17" s="9">
        <v>2.3166669999999998</v>
      </c>
      <c r="C17" s="5">
        <v>0.4025878</v>
      </c>
      <c r="D17" s="5"/>
      <c r="E17" s="5">
        <v>2.516667</v>
      </c>
      <c r="F17" s="5">
        <v>-0.5021215</v>
      </c>
      <c r="G17" s="5"/>
      <c r="H17" s="5">
        <v>2.1</v>
      </c>
      <c r="I17" s="5">
        <v>-0.46351900000000001</v>
      </c>
      <c r="J17" s="5"/>
      <c r="K17" s="5">
        <v>2.0666669999999998</v>
      </c>
      <c r="L17" s="5">
        <v>-0.333287</v>
      </c>
      <c r="M17" s="5"/>
      <c r="N17" s="5">
        <v>2.15</v>
      </c>
      <c r="O17" s="13">
        <v>-0.56624019999999997</v>
      </c>
      <c r="AI17" s="108">
        <f t="shared" si="0"/>
        <v>0.23333400000000015</v>
      </c>
      <c r="AJ17" s="108">
        <f t="shared" si="1"/>
        <v>-2.2311010899999997</v>
      </c>
    </row>
    <row r="18" spans="2:36">
      <c r="B18" s="9">
        <v>2.3333330000000001</v>
      </c>
      <c r="C18" s="5">
        <v>0.24065300000000001</v>
      </c>
      <c r="D18" s="5"/>
      <c r="E18" s="5">
        <v>2.5333329999999998</v>
      </c>
      <c r="F18" s="5">
        <v>-0.64834959999999997</v>
      </c>
      <c r="G18" s="5"/>
      <c r="H18" s="5">
        <v>2.1166670000000001</v>
      </c>
      <c r="I18" s="5">
        <v>-0.62013039999999997</v>
      </c>
      <c r="J18" s="5"/>
      <c r="K18" s="5">
        <v>2.0833330000000001</v>
      </c>
      <c r="L18" s="5">
        <v>-0.48175129999999999</v>
      </c>
      <c r="M18" s="5"/>
      <c r="N18" s="5">
        <v>2.1666669999999999</v>
      </c>
      <c r="O18" s="13">
        <v>-0.70010309999999998</v>
      </c>
      <c r="AI18" s="108">
        <f t="shared" si="0"/>
        <v>0.25</v>
      </c>
      <c r="AJ18" s="108">
        <f t="shared" si="1"/>
        <v>-2.3885375999999998</v>
      </c>
    </row>
    <row r="19" spans="2:36">
      <c r="B19" s="9">
        <v>2.35</v>
      </c>
      <c r="C19" s="5">
        <v>8.3216460000000006E-2</v>
      </c>
      <c r="D19" s="5"/>
      <c r="E19" s="5">
        <v>2.5499999999999998</v>
      </c>
      <c r="F19" s="5">
        <v>-0.80963059999999998</v>
      </c>
      <c r="G19" s="5"/>
      <c r="H19" s="5">
        <v>2.1333329999999999</v>
      </c>
      <c r="I19" s="5">
        <v>-0.76411180000000001</v>
      </c>
      <c r="J19" s="5"/>
      <c r="K19" s="5">
        <v>2.1</v>
      </c>
      <c r="L19" s="5">
        <v>-0.63324539999999996</v>
      </c>
      <c r="M19" s="5"/>
      <c r="N19" s="5">
        <v>2.1833330000000002</v>
      </c>
      <c r="O19" s="13">
        <v>-0.81522530000000004</v>
      </c>
      <c r="AI19" s="108">
        <f t="shared" si="0"/>
        <v>0.26666699999999999</v>
      </c>
      <c r="AJ19" s="108">
        <f t="shared" si="1"/>
        <v>-2.5324795999999998</v>
      </c>
    </row>
    <row r="20" spans="2:36">
      <c r="B20" s="9">
        <v>2.3666670000000001</v>
      </c>
      <c r="C20" s="5">
        <v>-7.4220090000000002E-2</v>
      </c>
      <c r="D20" s="5"/>
      <c r="E20" s="5"/>
      <c r="F20" s="5"/>
      <c r="G20" s="5"/>
      <c r="H20" s="5"/>
      <c r="I20" s="5"/>
      <c r="J20" s="5"/>
      <c r="K20" s="5">
        <v>2.1166670000000001</v>
      </c>
      <c r="L20" s="5">
        <v>-0.76656020000000002</v>
      </c>
      <c r="M20" s="5"/>
      <c r="N20" s="5"/>
      <c r="O20" s="13"/>
      <c r="AI20" s="108">
        <f t="shared" si="0"/>
        <v>0.28333399999999997</v>
      </c>
      <c r="AJ20" s="108">
        <f t="shared" si="1"/>
        <v>-2.7079088999999996</v>
      </c>
    </row>
    <row r="21" spans="2:36">
      <c r="B21" s="9">
        <v>2.3833329999999999</v>
      </c>
      <c r="C21" s="5">
        <v>-0.23165659999999999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3"/>
    </row>
    <row r="22" spans="2:36">
      <c r="B22" s="9">
        <v>2.4</v>
      </c>
      <c r="C22" s="5">
        <v>-0.3755986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3"/>
    </row>
    <row r="23" spans="2:36" ht="16" thickBot="1">
      <c r="B23" s="10">
        <v>2.4166669999999999</v>
      </c>
      <c r="C23" s="6">
        <v>-0.55102790000000001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4"/>
    </row>
    <row r="25" spans="2:36" ht="16" thickBot="1"/>
    <row r="26" spans="2:36" ht="16">
      <c r="B26" s="138" t="s">
        <v>14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40"/>
    </row>
    <row r="27" spans="2:36">
      <c r="B27" s="7" t="s">
        <v>19</v>
      </c>
      <c r="C27">
        <f>SLOPE(C29:C42,B29:B42)</f>
        <v>-9.5334844085870305</v>
      </c>
      <c r="E27" t="s">
        <v>19</v>
      </c>
      <c r="F27">
        <f>SLOPE(F29:F42,E29:E42)</f>
        <v>-10.025588319933886</v>
      </c>
      <c r="H27" t="s">
        <v>19</v>
      </c>
      <c r="I27">
        <v>-9.4620999999999995</v>
      </c>
      <c r="K27" t="s">
        <v>19</v>
      </c>
      <c r="L27" s="16">
        <f>SLOPE(L29:L42,K29:K42)</f>
        <v>-10.210334394474668</v>
      </c>
      <c r="N27" t="s">
        <v>19</v>
      </c>
      <c r="O27" s="11">
        <v>-10.0075249470306</v>
      </c>
    </row>
    <row r="28" spans="2:36">
      <c r="B28" s="8" t="s">
        <v>7</v>
      </c>
      <c r="C28" s="4" t="s">
        <v>8</v>
      </c>
      <c r="D28" s="4"/>
      <c r="E28" s="4" t="s">
        <v>9</v>
      </c>
      <c r="F28" s="4" t="s">
        <v>8</v>
      </c>
      <c r="G28" s="4"/>
      <c r="H28" s="4" t="s">
        <v>10</v>
      </c>
      <c r="I28" s="4" t="s">
        <v>8</v>
      </c>
      <c r="J28" s="4"/>
      <c r="K28" s="4" t="s">
        <v>11</v>
      </c>
      <c r="L28" s="4" t="s">
        <v>8</v>
      </c>
      <c r="M28" s="4"/>
      <c r="N28" s="4" t="s">
        <v>12</v>
      </c>
      <c r="O28" s="12" t="s">
        <v>8</v>
      </c>
    </row>
    <row r="29" spans="2:36">
      <c r="B29" s="9">
        <v>2.4166669999999999</v>
      </c>
      <c r="C29" s="5">
        <v>1.2752669999999999</v>
      </c>
      <c r="D29" s="5"/>
      <c r="E29" s="5">
        <v>1.95</v>
      </c>
      <c r="F29" s="5">
        <v>1.4752149999999999</v>
      </c>
      <c r="G29" s="5"/>
      <c r="H29" s="5">
        <v>1.7833330000000001</v>
      </c>
      <c r="I29" s="5">
        <v>1.1834279999999999</v>
      </c>
      <c r="J29" s="5"/>
      <c r="K29" s="5"/>
      <c r="L29" s="5"/>
      <c r="M29" s="5"/>
      <c r="N29" s="5">
        <v>1.8333330000000001</v>
      </c>
      <c r="O29" s="13">
        <v>1.0013639999999999</v>
      </c>
    </row>
    <row r="30" spans="2:36">
      <c r="B30" s="9">
        <v>2.4333330000000002</v>
      </c>
      <c r="C30" s="5">
        <v>1.1162270000000001</v>
      </c>
      <c r="D30" s="5"/>
      <c r="E30" s="5">
        <v>1.9666669999999999</v>
      </c>
      <c r="F30" s="5">
        <v>1.2852730000000001</v>
      </c>
      <c r="G30" s="5"/>
      <c r="H30" s="5">
        <v>1.8</v>
      </c>
      <c r="I30" s="5">
        <v>1.0185900000000001</v>
      </c>
      <c r="J30" s="5"/>
      <c r="K30" s="5">
        <v>1.95</v>
      </c>
      <c r="L30" s="5">
        <v>1.281579</v>
      </c>
      <c r="M30" s="5"/>
      <c r="N30" s="5">
        <v>1.85</v>
      </c>
      <c r="O30" s="13">
        <v>0.84038199999999996</v>
      </c>
    </row>
    <row r="31" spans="2:36">
      <c r="B31" s="9">
        <v>2.4500000000000002</v>
      </c>
      <c r="C31" s="5">
        <v>0.94540559999999996</v>
      </c>
      <c r="D31" s="5"/>
      <c r="E31" s="5">
        <v>1.983333</v>
      </c>
      <c r="F31" s="5">
        <v>1.120657</v>
      </c>
      <c r="G31" s="5"/>
      <c r="H31" s="5">
        <v>1.816667</v>
      </c>
      <c r="I31" s="5">
        <v>0.86808629999999998</v>
      </c>
      <c r="J31" s="5"/>
      <c r="K31" s="5">
        <v>1.9666669999999999</v>
      </c>
      <c r="L31" s="5">
        <v>1.1046769999999999</v>
      </c>
      <c r="M31" s="5"/>
      <c r="N31" s="5">
        <v>1.8666670000000001</v>
      </c>
      <c r="O31" s="13">
        <v>0.67394270000000001</v>
      </c>
    </row>
    <row r="32" spans="2:36">
      <c r="B32" s="9">
        <v>2.4666670000000002</v>
      </c>
      <c r="C32" s="5">
        <v>0.79225579999999995</v>
      </c>
      <c r="D32" s="5"/>
      <c r="E32" s="5">
        <v>2</v>
      </c>
      <c r="F32" s="5">
        <v>0.95287509999999997</v>
      </c>
      <c r="G32" s="5"/>
      <c r="H32" s="5">
        <v>1.8333330000000001</v>
      </c>
      <c r="I32" s="5">
        <v>0.70862360000000002</v>
      </c>
      <c r="J32" s="5"/>
      <c r="K32" s="5">
        <v>1.983333</v>
      </c>
      <c r="L32" s="5">
        <v>0.93162049999999996</v>
      </c>
      <c r="M32" s="5"/>
      <c r="N32" s="5">
        <v>1.8833329999999999</v>
      </c>
      <c r="O32" s="13">
        <v>0.51023189999999996</v>
      </c>
    </row>
    <row r="33" spans="2:15">
      <c r="B33" s="9">
        <v>2.483333</v>
      </c>
      <c r="C33" s="5">
        <v>0.63321559999999999</v>
      </c>
      <c r="D33" s="5"/>
      <c r="E33" s="5">
        <v>2.016667</v>
      </c>
      <c r="F33" s="5">
        <v>0.78509309999999999</v>
      </c>
      <c r="G33" s="5"/>
      <c r="H33" s="5">
        <v>1.85</v>
      </c>
      <c r="I33" s="5">
        <v>0.54378579999999999</v>
      </c>
      <c r="J33" s="5"/>
      <c r="K33" s="5">
        <v>2</v>
      </c>
      <c r="L33" s="5">
        <v>0.77010120000000004</v>
      </c>
      <c r="M33" s="5"/>
      <c r="N33" s="5">
        <v>1.9</v>
      </c>
      <c r="O33" s="13">
        <v>0.34106409999999998</v>
      </c>
    </row>
    <row r="34" spans="2:15">
      <c r="B34" s="9">
        <v>2.5</v>
      </c>
      <c r="C34" s="5">
        <v>0.47712060000000001</v>
      </c>
      <c r="D34" s="5"/>
      <c r="E34" s="5">
        <v>2.0333329999999998</v>
      </c>
      <c r="F34" s="5">
        <v>0.62364249999999999</v>
      </c>
      <c r="G34" s="5"/>
      <c r="H34" s="5">
        <v>1.8666670000000001</v>
      </c>
      <c r="I34" s="5">
        <v>0.39507330000000002</v>
      </c>
      <c r="J34" s="5"/>
      <c r="K34" s="5">
        <v>2.016667</v>
      </c>
      <c r="L34" s="5">
        <v>0.59512189999999998</v>
      </c>
      <c r="M34" s="5"/>
      <c r="N34" s="5">
        <v>1.9166669999999999</v>
      </c>
      <c r="O34" s="13">
        <v>0.17735329999999999</v>
      </c>
    </row>
    <row r="35" spans="2:15">
      <c r="B35" s="9">
        <v>2.516667</v>
      </c>
      <c r="C35" s="5">
        <v>0.31808039999999999</v>
      </c>
      <c r="D35" s="5"/>
      <c r="E35" s="5">
        <v>2.0499999999999998</v>
      </c>
      <c r="F35" s="5">
        <v>0.4558605</v>
      </c>
      <c r="G35" s="5"/>
      <c r="H35" s="5">
        <v>1.8833329999999999</v>
      </c>
      <c r="I35" s="5">
        <v>0.2266521</v>
      </c>
      <c r="J35" s="5"/>
      <c r="K35" s="5">
        <v>2.0333329999999998</v>
      </c>
      <c r="L35" s="5">
        <v>0.42014259999999998</v>
      </c>
      <c r="M35" s="5"/>
      <c r="N35" s="5">
        <v>1.933333</v>
      </c>
      <c r="O35" s="13">
        <v>1.091405E-2</v>
      </c>
    </row>
    <row r="36" spans="2:15">
      <c r="B36" s="9">
        <v>2.5333329999999998</v>
      </c>
      <c r="C36" s="5">
        <v>0.15904019999999999</v>
      </c>
      <c r="D36" s="5"/>
      <c r="E36" s="5">
        <v>2.0666669999999998</v>
      </c>
      <c r="F36" s="5">
        <v>0.28491280000000002</v>
      </c>
      <c r="G36" s="5"/>
      <c r="H36" s="5">
        <v>1.9</v>
      </c>
      <c r="I36" s="5">
        <v>7.2564489999999995E-2</v>
      </c>
      <c r="J36" s="5"/>
      <c r="K36" s="5">
        <v>2.0499999999999998</v>
      </c>
      <c r="L36" s="5">
        <v>0.2451633</v>
      </c>
      <c r="M36" s="5"/>
      <c r="N36" s="5">
        <v>1.95</v>
      </c>
      <c r="O36" s="13">
        <v>-0.16098229999999999</v>
      </c>
    </row>
    <row r="37" spans="2:15">
      <c r="B37" s="9">
        <v>2.5499999999999998</v>
      </c>
      <c r="C37" s="5">
        <v>5.8903769999999996E-3</v>
      </c>
      <c r="D37" s="5"/>
      <c r="E37" s="5">
        <v>2.0833330000000001</v>
      </c>
      <c r="F37" s="5">
        <v>0.11713079999999999</v>
      </c>
      <c r="G37" s="5"/>
      <c r="H37" s="5">
        <v>1.9166669999999999</v>
      </c>
      <c r="I37" s="5">
        <v>-8.1523070000000003E-2</v>
      </c>
      <c r="J37" s="5"/>
      <c r="K37" s="5">
        <v>2.0666669999999998</v>
      </c>
      <c r="L37" s="5">
        <v>7.9798250000000001E-2</v>
      </c>
      <c r="M37" s="5"/>
      <c r="N37" s="5">
        <v>1.9666669999999999</v>
      </c>
      <c r="O37" s="13">
        <v>-0.32469300000000001</v>
      </c>
    </row>
    <row r="38" spans="2:15">
      <c r="B38" s="9">
        <v>2.5666669999999998</v>
      </c>
      <c r="C38" s="5">
        <v>-0.15609500000000001</v>
      </c>
      <c r="D38" s="5"/>
      <c r="E38" s="5">
        <v>2.1</v>
      </c>
      <c r="F38" s="5">
        <v>-4.7485470000000002E-2</v>
      </c>
      <c r="G38" s="5"/>
      <c r="H38" s="5">
        <v>1.933333</v>
      </c>
      <c r="I38" s="5">
        <v>-0.24277750000000001</v>
      </c>
      <c r="J38" s="5"/>
      <c r="K38" s="5">
        <v>2.0833330000000001</v>
      </c>
      <c r="L38" s="5">
        <v>-9.1335349999999996E-2</v>
      </c>
      <c r="M38" s="5"/>
      <c r="N38" s="5">
        <v>1.983333</v>
      </c>
      <c r="O38" s="13">
        <v>-0.49386079999999999</v>
      </c>
    </row>
    <row r="39" spans="2:15">
      <c r="B39" s="9">
        <v>2.5833330000000001</v>
      </c>
      <c r="C39" s="5">
        <v>-0.3239708</v>
      </c>
      <c r="D39" s="5"/>
      <c r="E39" s="5">
        <v>2.1166670000000001</v>
      </c>
      <c r="F39" s="5">
        <v>-0.2152675</v>
      </c>
      <c r="G39" s="5"/>
      <c r="H39" s="5">
        <v>1.95</v>
      </c>
      <c r="I39" s="5">
        <v>-0.41119879999999998</v>
      </c>
      <c r="J39" s="5"/>
      <c r="K39" s="5">
        <v>2.1</v>
      </c>
      <c r="L39" s="5">
        <v>-0.2624689</v>
      </c>
      <c r="M39" s="5"/>
      <c r="N39" s="5">
        <v>2</v>
      </c>
      <c r="O39" s="13">
        <v>-0.65757160000000003</v>
      </c>
    </row>
    <row r="40" spans="2:15">
      <c r="B40" s="9">
        <v>2.6</v>
      </c>
      <c r="C40" s="5">
        <v>-0.47417540000000002</v>
      </c>
      <c r="D40" s="5"/>
      <c r="E40" s="5">
        <v>2.1333329999999999</v>
      </c>
      <c r="F40" s="5">
        <v>-0.38621519999999998</v>
      </c>
      <c r="G40" s="5"/>
      <c r="H40" s="5">
        <v>1.9666669999999999</v>
      </c>
      <c r="I40" s="5">
        <v>-0.5724532</v>
      </c>
      <c r="J40" s="5"/>
      <c r="K40" s="5">
        <v>2.1166670000000001</v>
      </c>
      <c r="L40" s="5">
        <v>-0.42783399999999999</v>
      </c>
      <c r="M40" s="5"/>
      <c r="N40" s="5">
        <v>2.016667</v>
      </c>
      <c r="O40" s="13">
        <v>-0.83492500000000003</v>
      </c>
    </row>
    <row r="41" spans="2:15">
      <c r="B41" s="9">
        <v>2.6166670000000001</v>
      </c>
      <c r="C41" s="5">
        <v>-0.63910599999999995</v>
      </c>
      <c r="D41" s="5"/>
      <c r="E41" s="5">
        <v>2.15</v>
      </c>
      <c r="F41" s="5">
        <v>-0.54766570000000003</v>
      </c>
      <c r="G41" s="5"/>
      <c r="H41" s="5">
        <v>1.983333</v>
      </c>
      <c r="I41" s="5">
        <v>-0.72116559999999996</v>
      </c>
      <c r="J41" s="5"/>
      <c r="K41" s="5">
        <v>2.1333329999999999</v>
      </c>
      <c r="L41" s="5">
        <v>-0.58935329999999997</v>
      </c>
      <c r="M41" s="5"/>
      <c r="N41" s="5"/>
      <c r="O41" s="13"/>
    </row>
    <row r="42" spans="2:15" ht="16" thickBot="1">
      <c r="B42" s="10">
        <v>2.6333329999999999</v>
      </c>
      <c r="C42" s="6">
        <v>-0.79225579999999995</v>
      </c>
      <c r="D42" s="6"/>
      <c r="E42" s="6">
        <v>2.1666669999999999</v>
      </c>
      <c r="F42" s="6">
        <v>-0.69961930000000006</v>
      </c>
      <c r="G42" s="6"/>
      <c r="H42" s="6">
        <v>2</v>
      </c>
      <c r="I42" s="6">
        <v>-0.83941889999999997</v>
      </c>
      <c r="J42" s="6"/>
      <c r="K42" s="6">
        <v>2.15</v>
      </c>
      <c r="L42" s="6">
        <v>-0.76048689999999997</v>
      </c>
      <c r="M42" s="6"/>
      <c r="N42" s="6"/>
      <c r="O42" s="14"/>
    </row>
    <row r="44" spans="2:15" ht="16" thickBot="1"/>
    <row r="45" spans="2:15" ht="16">
      <c r="B45" s="138" t="s">
        <v>15</v>
      </c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40"/>
    </row>
    <row r="46" spans="2:15">
      <c r="B46" s="7" t="s">
        <v>19</v>
      </c>
      <c r="C46">
        <f>SLOPE(C48:C59,B48:B59)</f>
        <v>-11.081831985863888</v>
      </c>
      <c r="E46" t="s">
        <v>19</v>
      </c>
      <c r="F46">
        <f>SLOPE(F48:F59,E48:E59)</f>
        <v>-10.675922836170368</v>
      </c>
      <c r="H46" t="s">
        <v>19</v>
      </c>
      <c r="I46">
        <f>SLOPE(I48:I60,H48:H60)</f>
        <v>-10.723051545691877</v>
      </c>
      <c r="K46" t="s">
        <v>19</v>
      </c>
      <c r="L46">
        <f>SLOPE(L48:L60,K48:K60)</f>
        <v>-10.22358917949591</v>
      </c>
      <c r="N46" t="s">
        <v>19</v>
      </c>
      <c r="O46" s="11">
        <v>-11.0918606166197</v>
      </c>
    </row>
    <row r="47" spans="2:15">
      <c r="B47" s="8" t="s">
        <v>7</v>
      </c>
      <c r="C47" s="4" t="s">
        <v>8</v>
      </c>
      <c r="D47" s="4"/>
      <c r="E47" s="4" t="s">
        <v>9</v>
      </c>
      <c r="F47" s="4" t="s">
        <v>8</v>
      </c>
      <c r="G47" s="4"/>
      <c r="H47" s="4" t="s">
        <v>10</v>
      </c>
      <c r="I47" s="4" t="s">
        <v>8</v>
      </c>
      <c r="J47" s="4"/>
      <c r="K47" s="4" t="s">
        <v>11</v>
      </c>
      <c r="L47" s="4" t="s">
        <v>8</v>
      </c>
      <c r="M47" s="4"/>
      <c r="N47" s="4" t="s">
        <v>12</v>
      </c>
      <c r="O47" s="12" t="s">
        <v>8</v>
      </c>
    </row>
    <row r="48" spans="2:15">
      <c r="B48" s="9">
        <v>1.7166669999999999</v>
      </c>
      <c r="C48" s="5">
        <v>1.4420790000000001</v>
      </c>
      <c r="D48" s="5"/>
      <c r="E48" s="5">
        <v>1.7166669999999999</v>
      </c>
      <c r="F48" s="5">
        <v>1.14236</v>
      </c>
      <c r="G48" s="5"/>
      <c r="H48" s="5">
        <v>1.816667</v>
      </c>
      <c r="I48" s="5">
        <v>1.2824070000000001</v>
      </c>
      <c r="J48" s="5"/>
      <c r="K48" s="5">
        <v>1.6666669999999999</v>
      </c>
      <c r="L48" s="5">
        <v>1.220747</v>
      </c>
      <c r="M48" s="5"/>
      <c r="N48" s="5">
        <v>1.3</v>
      </c>
      <c r="O48" s="13">
        <v>1.063264</v>
      </c>
    </row>
    <row r="49" spans="2:15">
      <c r="B49" s="9">
        <v>1.733333</v>
      </c>
      <c r="C49" s="5">
        <v>1.2537659999999999</v>
      </c>
      <c r="D49" s="5"/>
      <c r="E49" s="5">
        <v>1.733333</v>
      </c>
      <c r="F49" s="5">
        <v>0.96835260000000001</v>
      </c>
      <c r="G49" s="5"/>
      <c r="H49" s="5">
        <v>1.8333330000000001</v>
      </c>
      <c r="I49" s="5">
        <v>1.094104</v>
      </c>
      <c r="J49" s="5"/>
      <c r="K49" s="5">
        <v>1.683333</v>
      </c>
      <c r="L49" s="5">
        <v>1.0480719999999999</v>
      </c>
      <c r="M49" s="5"/>
      <c r="N49" s="5">
        <v>1.316667</v>
      </c>
      <c r="O49" s="13">
        <v>0.86688960000000004</v>
      </c>
    </row>
    <row r="50" spans="2:15">
      <c r="B50" s="9">
        <v>1.75</v>
      </c>
      <c r="C50" s="5">
        <v>1.0621499999999999</v>
      </c>
      <c r="D50" s="5"/>
      <c r="E50" s="5">
        <v>1.75</v>
      </c>
      <c r="F50" s="5">
        <v>0.79434499999999997</v>
      </c>
      <c r="G50" s="5"/>
      <c r="H50" s="5">
        <v>1.85</v>
      </c>
      <c r="I50" s="5">
        <v>0.90796560000000004</v>
      </c>
      <c r="J50" s="5"/>
      <c r="K50" s="5">
        <v>1.7</v>
      </c>
      <c r="L50" s="5">
        <v>0.86665369999999997</v>
      </c>
      <c r="M50" s="5"/>
      <c r="N50" s="5">
        <v>1.3333330000000001</v>
      </c>
      <c r="O50" s="13">
        <v>0.67826679999999995</v>
      </c>
    </row>
    <row r="51" spans="2:15">
      <c r="B51" s="9">
        <v>1.766667</v>
      </c>
      <c r="C51" s="5">
        <v>0.8771409</v>
      </c>
      <c r="D51" s="5"/>
      <c r="E51" s="5">
        <v>1.766667</v>
      </c>
      <c r="F51" s="5">
        <v>0.60989680000000002</v>
      </c>
      <c r="G51" s="5"/>
      <c r="H51" s="5">
        <v>1.8666670000000001</v>
      </c>
      <c r="I51" s="5">
        <v>0.73048480000000005</v>
      </c>
      <c r="J51" s="5"/>
      <c r="K51" s="5">
        <v>1.7166669999999999</v>
      </c>
      <c r="L51" s="5">
        <v>0.69397869999999995</v>
      </c>
      <c r="M51" s="5"/>
      <c r="N51" s="5">
        <v>1.35</v>
      </c>
      <c r="O51" s="13">
        <v>0.49481180000000002</v>
      </c>
    </row>
    <row r="52" spans="2:15">
      <c r="B52" s="9">
        <v>1.7833330000000001</v>
      </c>
      <c r="C52" s="5">
        <v>0.69213190000000002</v>
      </c>
      <c r="D52" s="5"/>
      <c r="E52" s="5">
        <v>1.7833330000000001</v>
      </c>
      <c r="F52" s="5">
        <v>0.43414910000000001</v>
      </c>
      <c r="G52" s="5"/>
      <c r="H52" s="5">
        <v>1.8833329999999999</v>
      </c>
      <c r="I52" s="5">
        <v>0.55083970000000004</v>
      </c>
      <c r="J52" s="5"/>
      <c r="K52" s="5">
        <v>1.733333</v>
      </c>
      <c r="L52" s="5">
        <v>0.51911790000000002</v>
      </c>
      <c r="M52" s="5"/>
      <c r="N52" s="5">
        <v>1.3666670000000001</v>
      </c>
      <c r="O52" s="13">
        <v>0.31910840000000001</v>
      </c>
    </row>
    <row r="53" spans="2:15">
      <c r="B53" s="9">
        <v>1.8</v>
      </c>
      <c r="C53" s="5">
        <v>0.50712290000000004</v>
      </c>
      <c r="D53" s="5"/>
      <c r="E53" s="5">
        <v>1.8</v>
      </c>
      <c r="F53" s="5">
        <v>0.26536169999999998</v>
      </c>
      <c r="G53" s="5"/>
      <c r="H53" s="5">
        <v>1.9</v>
      </c>
      <c r="I53" s="5">
        <v>0.36686570000000002</v>
      </c>
      <c r="J53" s="5"/>
      <c r="K53" s="5">
        <v>1.75</v>
      </c>
      <c r="L53" s="5">
        <v>0.34425719999999999</v>
      </c>
      <c r="M53" s="5"/>
      <c r="N53" s="5">
        <v>1.3833329999999999</v>
      </c>
      <c r="O53" s="13">
        <v>0.12531790000000001</v>
      </c>
    </row>
    <row r="54" spans="2:15">
      <c r="B54" s="9">
        <v>1.816667</v>
      </c>
      <c r="C54" s="5">
        <v>0.31881019999999999</v>
      </c>
      <c r="D54" s="5"/>
      <c r="E54" s="5">
        <v>1.816667</v>
      </c>
      <c r="F54" s="5">
        <v>8.4393709999999997E-2</v>
      </c>
      <c r="G54" s="5"/>
      <c r="H54" s="5">
        <v>1.9166669999999999</v>
      </c>
      <c r="I54" s="5">
        <v>0.189385</v>
      </c>
      <c r="J54" s="5"/>
      <c r="K54" s="5">
        <v>1.766667</v>
      </c>
      <c r="L54" s="5">
        <v>0.17158209999999999</v>
      </c>
      <c r="M54" s="5"/>
      <c r="N54" s="5">
        <v>1.4</v>
      </c>
      <c r="O54" s="13">
        <v>-4.7801660000000003E-2</v>
      </c>
    </row>
    <row r="55" spans="2:15">
      <c r="B55" s="9">
        <v>1.8333330000000001</v>
      </c>
      <c r="C55" s="5">
        <v>0.1371049</v>
      </c>
      <c r="D55" s="5"/>
      <c r="E55" s="5">
        <v>1.8333330000000001</v>
      </c>
      <c r="F55" s="5">
        <v>-9.8314330000000005E-2</v>
      </c>
      <c r="G55" s="5"/>
      <c r="H55" s="5">
        <v>1.933333</v>
      </c>
      <c r="I55" s="5">
        <v>1.4068600000000001E-2</v>
      </c>
      <c r="J55" s="5"/>
      <c r="K55" s="5">
        <v>1.7833330000000001</v>
      </c>
      <c r="L55" s="5">
        <v>5.464399E-3</v>
      </c>
      <c r="M55" s="5"/>
      <c r="N55" s="5">
        <v>1.4166669999999999</v>
      </c>
      <c r="O55" s="13">
        <v>-0.23900830000000001</v>
      </c>
    </row>
    <row r="56" spans="2:15">
      <c r="B56" s="9">
        <v>1.85</v>
      </c>
      <c r="C56" s="5">
        <v>-4.7904120000000001E-2</v>
      </c>
      <c r="D56" s="5"/>
      <c r="E56" s="5">
        <v>1.85</v>
      </c>
      <c r="F56" s="5">
        <v>-0.26884180000000002</v>
      </c>
      <c r="G56" s="5"/>
      <c r="H56" s="5">
        <v>1.95</v>
      </c>
      <c r="I56" s="5">
        <v>-0.17423420000000001</v>
      </c>
      <c r="J56" s="5"/>
      <c r="K56" s="5">
        <v>1.8</v>
      </c>
      <c r="L56" s="5">
        <v>-0.1650249</v>
      </c>
      <c r="M56" s="5"/>
      <c r="N56" s="5">
        <v>1.433333</v>
      </c>
      <c r="O56" s="13">
        <v>-0.42504720000000001</v>
      </c>
    </row>
    <row r="57" spans="2:15">
      <c r="B57" s="9">
        <v>1.8666670000000001</v>
      </c>
      <c r="C57" s="5">
        <v>-0.2230019</v>
      </c>
      <c r="D57" s="5"/>
      <c r="E57" s="5">
        <v>1.8666670000000001</v>
      </c>
      <c r="F57" s="5">
        <v>-0.45329000000000003</v>
      </c>
      <c r="G57" s="5"/>
      <c r="H57" s="5">
        <v>1.9666669999999999</v>
      </c>
      <c r="I57" s="5">
        <v>-0.35820809999999997</v>
      </c>
      <c r="J57" s="5"/>
      <c r="K57" s="5">
        <v>1.816667</v>
      </c>
      <c r="L57" s="5">
        <v>-0.33332840000000002</v>
      </c>
      <c r="M57" s="5"/>
      <c r="N57" s="5">
        <v>1.45</v>
      </c>
      <c r="O57" s="13">
        <v>-0.60850219999999999</v>
      </c>
    </row>
    <row r="58" spans="2:15">
      <c r="B58" s="9">
        <v>1.8833329999999999</v>
      </c>
      <c r="C58" s="5">
        <v>-0.40470719999999999</v>
      </c>
      <c r="D58" s="5"/>
      <c r="E58" s="5">
        <v>1.8833329999999999</v>
      </c>
      <c r="F58" s="5">
        <v>-0.63077780000000006</v>
      </c>
      <c r="G58" s="5"/>
      <c r="H58" s="5">
        <v>1.983333</v>
      </c>
      <c r="I58" s="5">
        <v>-0.52919570000000005</v>
      </c>
      <c r="J58" s="5"/>
      <c r="K58" s="5">
        <v>1.8333330000000001</v>
      </c>
      <c r="L58" s="5">
        <v>-0.50163190000000002</v>
      </c>
      <c r="M58" s="5"/>
      <c r="N58" s="5">
        <v>1.4666669999999999</v>
      </c>
      <c r="O58" s="13">
        <v>-0.79454119999999995</v>
      </c>
    </row>
    <row r="59" spans="2:15">
      <c r="B59" s="9">
        <v>1.9</v>
      </c>
      <c r="C59" s="5">
        <v>-0.59632359999999995</v>
      </c>
      <c r="D59" s="5"/>
      <c r="E59" s="5">
        <v>1.9</v>
      </c>
      <c r="F59" s="5">
        <v>-0.82044609999999996</v>
      </c>
      <c r="G59" s="5"/>
      <c r="H59" s="5">
        <v>2</v>
      </c>
      <c r="I59" s="5">
        <v>-0.70234759999999996</v>
      </c>
      <c r="J59" s="5"/>
      <c r="K59" s="5">
        <v>1.85</v>
      </c>
      <c r="L59" s="5">
        <v>-0.68086420000000003</v>
      </c>
      <c r="M59" s="5"/>
      <c r="N59" s="5"/>
      <c r="O59" s="13"/>
    </row>
    <row r="60" spans="2:15" ht="16" thickBot="1">
      <c r="B60" s="10"/>
      <c r="C60" s="6"/>
      <c r="D60" s="6"/>
      <c r="E60" s="6"/>
      <c r="F60" s="6"/>
      <c r="G60" s="6"/>
      <c r="H60" s="6">
        <v>2.016667</v>
      </c>
      <c r="I60" s="6">
        <v>-0.83870480000000003</v>
      </c>
      <c r="J60" s="6"/>
      <c r="K60" s="6">
        <v>1.8666670000000001</v>
      </c>
      <c r="L60" s="6">
        <v>-0.79670940000000001</v>
      </c>
      <c r="M60" s="6"/>
      <c r="N60" s="6"/>
      <c r="O60" s="14"/>
    </row>
    <row r="62" spans="2:15" ht="16" thickBot="1"/>
    <row r="63" spans="2:15" ht="16">
      <c r="B63" s="138" t="s">
        <v>16</v>
      </c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40"/>
    </row>
    <row r="64" spans="2:15">
      <c r="B64" s="7" t="s">
        <v>19</v>
      </c>
      <c r="C64">
        <f>SLOPE(C66:C77,B66:B77)</f>
        <v>-11.710036522572647</v>
      </c>
      <c r="E64" t="s">
        <v>19</v>
      </c>
      <c r="F64">
        <f>SLOPE(F66:F78,E66:E78)</f>
        <v>-10.912379871266795</v>
      </c>
      <c r="H64" t="s">
        <v>19</v>
      </c>
      <c r="I64">
        <v>-11.435741059715699</v>
      </c>
      <c r="K64" t="s">
        <v>19</v>
      </c>
      <c r="L64">
        <f>SLOPE(L66:L77,K66:K77)</f>
        <v>-11.516329380974055</v>
      </c>
      <c r="N64" t="s">
        <v>19</v>
      </c>
      <c r="O64" s="11">
        <f>SLOPE(O66:O75,N66:N75)</f>
        <v>-11.563749410272692</v>
      </c>
    </row>
    <row r="65" spans="2:15">
      <c r="B65" s="8" t="s">
        <v>7</v>
      </c>
      <c r="C65" s="4" t="s">
        <v>8</v>
      </c>
      <c r="D65" s="4"/>
      <c r="E65" s="4" t="s">
        <v>9</v>
      </c>
      <c r="F65" s="4" t="s">
        <v>8</v>
      </c>
      <c r="G65" s="4"/>
      <c r="H65" s="4" t="s">
        <v>10</v>
      </c>
      <c r="I65" s="4" t="s">
        <v>8</v>
      </c>
      <c r="J65" s="4"/>
      <c r="K65" s="4" t="s">
        <v>11</v>
      </c>
      <c r="L65" s="4" t="s">
        <v>8</v>
      </c>
      <c r="M65" s="4"/>
      <c r="N65" s="4" t="s">
        <v>12</v>
      </c>
      <c r="O65" s="12" t="s">
        <v>8</v>
      </c>
    </row>
    <row r="66" spans="2:15">
      <c r="B66" s="9">
        <v>2.3666670000000001</v>
      </c>
      <c r="C66" s="5">
        <v>1.2927230000000001</v>
      </c>
      <c r="D66" s="5"/>
      <c r="E66" s="5">
        <v>1.6666669999999999</v>
      </c>
      <c r="F66" s="5">
        <v>1.353253</v>
      </c>
      <c r="G66" s="5"/>
      <c r="H66" s="5">
        <v>1.7833330000000001</v>
      </c>
      <c r="I66" s="5">
        <v>1.2990409999999999</v>
      </c>
      <c r="J66" s="5"/>
      <c r="K66" s="5">
        <v>0.83333330000000005</v>
      </c>
      <c r="L66" s="5">
        <v>1.2793829999999999</v>
      </c>
      <c r="M66" s="5"/>
      <c r="N66" s="5">
        <v>1.3333330000000001</v>
      </c>
      <c r="O66" s="13">
        <v>0.9620843</v>
      </c>
    </row>
    <row r="67" spans="2:15">
      <c r="B67" s="9">
        <v>2.3833329999999999</v>
      </c>
      <c r="C67" s="5">
        <v>1.0939989999999999</v>
      </c>
      <c r="D67" s="5"/>
      <c r="E67" s="5">
        <v>1.683333</v>
      </c>
      <c r="F67" s="5">
        <v>1.165343</v>
      </c>
      <c r="G67" s="5"/>
      <c r="H67" s="5">
        <v>1.8</v>
      </c>
      <c r="I67" s="5">
        <v>1.107664</v>
      </c>
      <c r="J67" s="5"/>
      <c r="K67" s="5">
        <v>0.85</v>
      </c>
      <c r="L67" s="5">
        <v>1.0835729999999999</v>
      </c>
      <c r="M67" s="5"/>
      <c r="N67" s="5">
        <v>1.35</v>
      </c>
      <c r="O67" s="13">
        <v>0.76623140000000001</v>
      </c>
    </row>
    <row r="68" spans="2:15">
      <c r="B68" s="9">
        <v>2.4</v>
      </c>
      <c r="C68" s="5">
        <v>0.89730189999999999</v>
      </c>
      <c r="D68" s="5"/>
      <c r="E68" s="5">
        <v>1.7</v>
      </c>
      <c r="F68" s="5">
        <v>0.97743329999999995</v>
      </c>
      <c r="G68" s="5"/>
      <c r="H68" s="5">
        <v>1.816667</v>
      </c>
      <c r="I68" s="5">
        <v>0.91918750000000005</v>
      </c>
      <c r="J68" s="5"/>
      <c r="K68" s="5">
        <v>0.86666670000000001</v>
      </c>
      <c r="L68" s="5">
        <v>0.88776219999999995</v>
      </c>
      <c r="M68" s="5"/>
      <c r="N68" s="5">
        <v>1.3666670000000001</v>
      </c>
      <c r="O68" s="13">
        <v>0.57725059999999995</v>
      </c>
    </row>
    <row r="69" spans="2:15">
      <c r="B69" s="9">
        <v>2.4166669999999999</v>
      </c>
      <c r="C69" s="5">
        <v>0.70060520000000004</v>
      </c>
      <c r="D69" s="5"/>
      <c r="E69" s="5">
        <v>1.7166669999999999</v>
      </c>
      <c r="F69" s="5">
        <v>0.80467759999999999</v>
      </c>
      <c r="G69" s="5"/>
      <c r="H69" s="5">
        <v>1.8333330000000001</v>
      </c>
      <c r="I69" s="5">
        <v>0.73071059999999999</v>
      </c>
      <c r="J69" s="5"/>
      <c r="K69" s="5">
        <v>0.88333329999999999</v>
      </c>
      <c r="L69" s="5">
        <v>0.68136739999999996</v>
      </c>
      <c r="M69" s="5"/>
      <c r="N69" s="5">
        <v>1.3833329999999999</v>
      </c>
      <c r="O69" s="13">
        <v>0.39170569999999999</v>
      </c>
    </row>
    <row r="70" spans="2:15">
      <c r="B70" s="9">
        <v>2.4333330000000002</v>
      </c>
      <c r="C70" s="5">
        <v>0.50593630000000001</v>
      </c>
      <c r="D70" s="5"/>
      <c r="E70" s="5">
        <v>1.733333</v>
      </c>
      <c r="F70" s="5">
        <v>0.61525260000000004</v>
      </c>
      <c r="G70" s="5"/>
      <c r="H70" s="5">
        <v>1.85</v>
      </c>
      <c r="I70" s="5">
        <v>0.53643439999999998</v>
      </c>
      <c r="J70" s="5"/>
      <c r="K70" s="5">
        <v>0.9</v>
      </c>
      <c r="L70" s="5">
        <v>0.49614130000000001</v>
      </c>
      <c r="M70" s="5"/>
      <c r="N70" s="5">
        <v>1.4</v>
      </c>
      <c r="O70" s="13">
        <v>0.1889808</v>
      </c>
    </row>
    <row r="71" spans="2:15">
      <c r="B71" s="9">
        <v>2.4500000000000002</v>
      </c>
      <c r="C71" s="5">
        <v>0.30721179999999998</v>
      </c>
      <c r="D71" s="5"/>
      <c r="E71" s="5">
        <v>1.75</v>
      </c>
      <c r="F71" s="5">
        <v>0.43188910000000003</v>
      </c>
      <c r="G71" s="5"/>
      <c r="H71" s="5">
        <v>1.8666670000000001</v>
      </c>
      <c r="I71" s="5">
        <v>0.34795739999999997</v>
      </c>
      <c r="J71" s="5"/>
      <c r="K71" s="5">
        <v>0.91666669999999995</v>
      </c>
      <c r="L71" s="5">
        <v>0.30562309999999998</v>
      </c>
      <c r="M71" s="5"/>
      <c r="N71" s="5">
        <v>1.4166669999999999</v>
      </c>
      <c r="O71" s="13">
        <v>-6.8720309999999998E-3</v>
      </c>
    </row>
    <row r="72" spans="2:15">
      <c r="B72" s="9">
        <v>2.4666670000000002</v>
      </c>
      <c r="C72" s="5">
        <v>0.1175505</v>
      </c>
      <c r="D72" s="5"/>
      <c r="E72" s="5">
        <v>1.766667</v>
      </c>
      <c r="F72" s="5">
        <v>0.24852569999999999</v>
      </c>
      <c r="G72" s="5"/>
      <c r="H72" s="5">
        <v>1.8833329999999999</v>
      </c>
      <c r="I72" s="5">
        <v>0.1652798</v>
      </c>
      <c r="J72" s="5"/>
      <c r="K72" s="5">
        <v>0.93333330000000003</v>
      </c>
      <c r="L72" s="5">
        <v>0.11775090000000001</v>
      </c>
      <c r="M72" s="5"/>
      <c r="N72" s="5">
        <v>1.433333</v>
      </c>
      <c r="O72" s="13">
        <v>-0.1924169</v>
      </c>
    </row>
    <row r="73" spans="2:15">
      <c r="B73" s="9">
        <v>2.483333</v>
      </c>
      <c r="C73" s="5">
        <v>-8.3145469999999999E-2</v>
      </c>
      <c r="D73" s="5"/>
      <c r="E73" s="5">
        <v>1.7833330000000001</v>
      </c>
      <c r="F73" s="5">
        <v>5.910062E-2</v>
      </c>
      <c r="G73" s="5"/>
      <c r="H73" s="5">
        <v>1.9</v>
      </c>
      <c r="I73" s="5">
        <v>-2.3197160000000001E-2</v>
      </c>
      <c r="J73" s="5"/>
      <c r="K73" s="5">
        <v>0.95</v>
      </c>
      <c r="L73" s="5">
        <v>-8.5997829999999997E-2</v>
      </c>
      <c r="M73" s="5"/>
      <c r="N73" s="5">
        <v>1.45</v>
      </c>
      <c r="O73" s="13">
        <v>-0.39170569999999999</v>
      </c>
    </row>
    <row r="74" spans="2:15">
      <c r="B74" s="9">
        <v>2.5</v>
      </c>
      <c r="C74" s="5">
        <v>-0.28097430000000001</v>
      </c>
      <c r="D74" s="5"/>
      <c r="E74" s="5">
        <v>1.8</v>
      </c>
      <c r="F74" s="5">
        <v>-0.12426280000000001</v>
      </c>
      <c r="G74" s="5"/>
      <c r="H74" s="5">
        <v>1.9166669999999999</v>
      </c>
      <c r="I74" s="5">
        <v>-0.21747340000000001</v>
      </c>
      <c r="J74" s="5"/>
      <c r="K74" s="5">
        <v>0.96666669999999999</v>
      </c>
      <c r="L74" s="5">
        <v>-0.27122390000000002</v>
      </c>
      <c r="M74" s="5"/>
      <c r="N74" s="5">
        <v>1.4666669999999999</v>
      </c>
      <c r="O74" s="13">
        <v>-0.58412260000000005</v>
      </c>
    </row>
    <row r="75" spans="2:15">
      <c r="B75" s="9">
        <v>2.516667</v>
      </c>
      <c r="C75" s="5">
        <v>-0.4745026</v>
      </c>
      <c r="D75" s="5"/>
      <c r="E75" s="5">
        <v>1.816667</v>
      </c>
      <c r="F75" s="5">
        <v>-0.30308010000000002</v>
      </c>
      <c r="G75" s="5"/>
      <c r="H75" s="5">
        <v>1.933333</v>
      </c>
      <c r="I75" s="5">
        <v>-0.4146493</v>
      </c>
      <c r="J75" s="5"/>
      <c r="K75" s="5">
        <v>0.98333329999999997</v>
      </c>
      <c r="L75" s="5">
        <v>-0.46438829999999998</v>
      </c>
      <c r="M75" s="5"/>
      <c r="N75" s="5">
        <v>1.483333</v>
      </c>
      <c r="O75" s="13">
        <v>-0.76623140000000001</v>
      </c>
    </row>
    <row r="76" spans="2:15">
      <c r="B76" s="9">
        <v>2.5333329999999998</v>
      </c>
      <c r="C76" s="5">
        <v>-0.66803080000000004</v>
      </c>
      <c r="D76" s="5"/>
      <c r="E76" s="5">
        <v>1.8333330000000001</v>
      </c>
      <c r="F76" s="5">
        <v>-0.48795889999999997</v>
      </c>
      <c r="G76" s="5"/>
      <c r="H76" s="5">
        <v>1.95</v>
      </c>
      <c r="I76" s="5">
        <v>-0.59442729999999999</v>
      </c>
      <c r="J76" s="5"/>
      <c r="K76" s="5">
        <v>1</v>
      </c>
      <c r="L76" s="5">
        <v>-0.64961440000000004</v>
      </c>
      <c r="M76" s="5"/>
      <c r="N76" s="5"/>
      <c r="O76" s="13"/>
    </row>
    <row r="77" spans="2:15">
      <c r="B77" s="9">
        <v>2.5499999999999998</v>
      </c>
      <c r="C77" s="5">
        <v>-0.84292299999999998</v>
      </c>
      <c r="D77" s="5"/>
      <c r="E77" s="5">
        <v>1.85</v>
      </c>
      <c r="F77" s="5">
        <v>-0.66526079999999999</v>
      </c>
      <c r="G77" s="5"/>
      <c r="H77" s="5">
        <v>1.9666669999999999</v>
      </c>
      <c r="I77" s="5">
        <v>-0.81480030000000003</v>
      </c>
      <c r="J77" s="5"/>
      <c r="K77" s="5">
        <v>1.016667</v>
      </c>
      <c r="L77" s="5">
        <v>-0.82366810000000001</v>
      </c>
      <c r="M77" s="5"/>
      <c r="N77" s="5"/>
      <c r="O77" s="13"/>
    </row>
    <row r="78" spans="2:15" ht="16" thickBot="1">
      <c r="B78" s="10"/>
      <c r="C78" s="6"/>
      <c r="D78" s="6"/>
      <c r="E78" s="6">
        <v>1.8666670000000001</v>
      </c>
      <c r="F78" s="6">
        <v>-0.79861599999999999</v>
      </c>
      <c r="G78" s="6"/>
      <c r="H78" s="6"/>
      <c r="I78" s="6"/>
      <c r="J78" s="6"/>
      <c r="K78" s="6"/>
      <c r="L78" s="6"/>
      <c r="M78" s="6"/>
      <c r="N78" s="6"/>
      <c r="O78" s="14"/>
    </row>
    <row r="80" spans="2:15" ht="16" thickBot="1"/>
    <row r="81" spans="2:15" ht="16">
      <c r="B81" s="138" t="s">
        <v>17</v>
      </c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40"/>
    </row>
    <row r="82" spans="2:15">
      <c r="B82" s="7" t="s">
        <v>19</v>
      </c>
      <c r="C82">
        <f>SLOPE(C84:C94,B84:B94)</f>
        <v>-12.144410829713157</v>
      </c>
      <c r="E82" t="s">
        <v>19</v>
      </c>
      <c r="F82">
        <v>-11.717894671931299</v>
      </c>
      <c r="H82" t="s">
        <v>19</v>
      </c>
      <c r="I82">
        <f>SLOPE(I84:I95,H84:H95)</f>
        <v>-11.525039894431153</v>
      </c>
      <c r="K82" t="s">
        <v>19</v>
      </c>
      <c r="L82" s="16">
        <f>SLOPE(L84:L93,K84:K93)</f>
        <v>-12.251193496141926</v>
      </c>
      <c r="N82" t="s">
        <v>19</v>
      </c>
      <c r="O82" s="11">
        <f>SLOPE(O84:O96,N84:N96)</f>
        <v>-12.120859687608414</v>
      </c>
    </row>
    <row r="83" spans="2:15">
      <c r="B83" s="8" t="s">
        <v>7</v>
      </c>
      <c r="C83" s="4" t="s">
        <v>8</v>
      </c>
      <c r="D83" s="4"/>
      <c r="E83" s="4" t="s">
        <v>9</v>
      </c>
      <c r="F83" s="4" t="s">
        <v>8</v>
      </c>
      <c r="G83" s="4"/>
      <c r="H83" s="4" t="s">
        <v>10</v>
      </c>
      <c r="I83" s="4" t="s">
        <v>8</v>
      </c>
      <c r="J83" s="4"/>
      <c r="K83" s="4" t="s">
        <v>11</v>
      </c>
      <c r="L83" s="4" t="s">
        <v>8</v>
      </c>
      <c r="M83" s="4"/>
      <c r="N83" s="4" t="s">
        <v>12</v>
      </c>
      <c r="O83" s="12" t="s">
        <v>8</v>
      </c>
    </row>
    <row r="84" spans="2:15">
      <c r="B84" s="9">
        <v>1.85</v>
      </c>
      <c r="C84" s="5">
        <v>1.253414</v>
      </c>
      <c r="D84" s="5"/>
      <c r="E84" s="5">
        <v>1.483333</v>
      </c>
      <c r="F84" s="5">
        <v>1.279911</v>
      </c>
      <c r="G84" s="5"/>
      <c r="H84" s="5">
        <v>1.7</v>
      </c>
      <c r="I84" s="5">
        <v>1.27139</v>
      </c>
      <c r="J84" s="5"/>
      <c r="K84" s="5">
        <v>1.5</v>
      </c>
      <c r="L84" s="5">
        <v>1.054324</v>
      </c>
      <c r="M84" s="5"/>
      <c r="N84" s="5">
        <v>1.95</v>
      </c>
      <c r="O84" s="13">
        <v>1.5518289999999999</v>
      </c>
    </row>
    <row r="85" spans="2:15">
      <c r="B85" s="9">
        <v>1.8666670000000001</v>
      </c>
      <c r="C85" s="5">
        <v>1.050829</v>
      </c>
      <c r="D85" s="5"/>
      <c r="E85" s="5">
        <v>1.5</v>
      </c>
      <c r="F85" s="5">
        <v>1.0712410000000001</v>
      </c>
      <c r="G85" s="5"/>
      <c r="H85" s="5">
        <v>1.7166669999999999</v>
      </c>
      <c r="I85" s="5">
        <v>1.0584089999999999</v>
      </c>
      <c r="J85" s="5"/>
      <c r="K85" s="5">
        <v>1.516667</v>
      </c>
      <c r="L85" s="5">
        <v>0.85026139999999995</v>
      </c>
      <c r="M85" s="5"/>
      <c r="N85" s="5">
        <v>1.9666669999999999</v>
      </c>
      <c r="O85" s="13">
        <v>1.3333619999999999</v>
      </c>
    </row>
    <row r="86" spans="2:15">
      <c r="B86" s="9">
        <v>1.8833329999999999</v>
      </c>
      <c r="C86" s="5">
        <v>0.85216449999999999</v>
      </c>
      <c r="D86" s="5"/>
      <c r="E86" s="5">
        <v>1.516667</v>
      </c>
      <c r="F86" s="5">
        <v>0.88736380000000004</v>
      </c>
      <c r="G86" s="5"/>
      <c r="H86" s="5">
        <v>1.733333</v>
      </c>
      <c r="I86" s="5">
        <v>0.87140209999999996</v>
      </c>
      <c r="J86" s="5"/>
      <c r="K86" s="5">
        <v>1.5333330000000001</v>
      </c>
      <c r="L86" s="5">
        <v>0.63939659999999998</v>
      </c>
      <c r="M86" s="5"/>
      <c r="N86" s="5">
        <v>1.983333</v>
      </c>
      <c r="O86" s="13">
        <v>1.1172690000000001</v>
      </c>
    </row>
    <row r="87" spans="2:15">
      <c r="B87" s="9">
        <v>1.9</v>
      </c>
      <c r="C87" s="5">
        <v>0.65219340000000003</v>
      </c>
      <c r="D87" s="5"/>
      <c r="E87" s="5">
        <v>1.5333330000000001</v>
      </c>
      <c r="F87" s="5">
        <v>0.68902399999999997</v>
      </c>
      <c r="G87" s="5"/>
      <c r="H87" s="5">
        <v>1.75</v>
      </c>
      <c r="I87" s="5">
        <v>0.67920020000000003</v>
      </c>
      <c r="J87" s="5"/>
      <c r="K87" s="5">
        <v>1.55</v>
      </c>
      <c r="L87" s="5">
        <v>0.43873489999999998</v>
      </c>
      <c r="M87" s="5"/>
      <c r="N87" s="5">
        <v>2</v>
      </c>
      <c r="O87" s="13">
        <v>0.90592620000000001</v>
      </c>
    </row>
    <row r="88" spans="2:15">
      <c r="B88" s="9">
        <v>1.9166669999999999</v>
      </c>
      <c r="C88" s="5">
        <v>0.44960830000000002</v>
      </c>
      <c r="D88" s="5"/>
      <c r="E88" s="5">
        <v>1.55</v>
      </c>
      <c r="F88" s="5">
        <v>0.49481639999999999</v>
      </c>
      <c r="G88" s="5"/>
      <c r="H88" s="5">
        <v>1.766667</v>
      </c>
      <c r="I88" s="5">
        <v>0.4766089</v>
      </c>
      <c r="J88" s="5"/>
      <c r="K88" s="5">
        <v>1.566667</v>
      </c>
      <c r="L88" s="5">
        <v>0.23127110000000001</v>
      </c>
      <c r="M88" s="5"/>
      <c r="N88" s="5">
        <v>2.016667</v>
      </c>
      <c r="O88" s="13">
        <v>0.70645619999999998</v>
      </c>
    </row>
    <row r="89" spans="2:15">
      <c r="B89" s="9">
        <v>1.933333</v>
      </c>
      <c r="C89" s="5">
        <v>0.24179519999999999</v>
      </c>
      <c r="D89" s="5"/>
      <c r="E89" s="5">
        <v>1.566667</v>
      </c>
      <c r="F89" s="5">
        <v>0.29234450000000001</v>
      </c>
      <c r="G89" s="5"/>
      <c r="H89" s="5">
        <v>1.7833330000000001</v>
      </c>
      <c r="I89" s="5">
        <v>0.276615</v>
      </c>
      <c r="J89" s="5"/>
      <c r="K89" s="5">
        <v>1.5833330000000001</v>
      </c>
      <c r="L89" s="5">
        <v>3.060941E-2</v>
      </c>
      <c r="M89" s="5"/>
      <c r="N89" s="5">
        <v>2.0333329999999998</v>
      </c>
      <c r="O89" s="13">
        <v>0.49748759999999997</v>
      </c>
    </row>
    <row r="90" spans="2:15">
      <c r="B90" s="9">
        <v>1.95</v>
      </c>
      <c r="C90" s="5">
        <v>4.1824029999999998E-2</v>
      </c>
      <c r="D90" s="5"/>
      <c r="E90" s="5">
        <v>1.5833330000000001</v>
      </c>
      <c r="F90" s="5">
        <v>8.98727E-2</v>
      </c>
      <c r="G90" s="5"/>
      <c r="H90" s="5">
        <v>1.8</v>
      </c>
      <c r="I90" s="5">
        <v>9.2204990000000001E-2</v>
      </c>
      <c r="J90" s="5"/>
      <c r="K90" s="5">
        <v>1.6</v>
      </c>
      <c r="L90" s="5">
        <v>-0.17005229999999999</v>
      </c>
      <c r="M90" s="5"/>
      <c r="N90" s="5">
        <v>2.0499999999999998</v>
      </c>
      <c r="O90" s="13">
        <v>0.29326839999999998</v>
      </c>
    </row>
    <row r="91" spans="2:15">
      <c r="B91" s="9">
        <v>1.9666669999999999</v>
      </c>
      <c r="C91" s="5">
        <v>-0.15553310000000001</v>
      </c>
      <c r="D91" s="5"/>
      <c r="E91" s="5">
        <v>1.6</v>
      </c>
      <c r="F91" s="5">
        <v>-0.1084671</v>
      </c>
      <c r="G91" s="5"/>
      <c r="H91" s="5">
        <v>1.816667</v>
      </c>
      <c r="I91" s="5">
        <v>-9.9996959999999996E-2</v>
      </c>
      <c r="J91" s="5"/>
      <c r="K91" s="5">
        <v>1.6166670000000001</v>
      </c>
      <c r="L91" s="5">
        <v>-0.38771919999999999</v>
      </c>
      <c r="M91" s="5"/>
      <c r="N91" s="5">
        <v>2.0666669999999998</v>
      </c>
      <c r="O91" s="13">
        <v>8.6674459999999995E-2</v>
      </c>
    </row>
    <row r="92" spans="2:15">
      <c r="B92" s="9">
        <v>1.983333</v>
      </c>
      <c r="C92" s="5">
        <v>-0.36465320000000001</v>
      </c>
      <c r="D92" s="5"/>
      <c r="E92" s="5">
        <v>1.6166670000000001</v>
      </c>
      <c r="F92" s="5">
        <v>-0.30680679999999999</v>
      </c>
      <c r="G92" s="5"/>
      <c r="H92" s="5">
        <v>1.8333330000000001</v>
      </c>
      <c r="I92" s="5">
        <v>-0.29219889999999998</v>
      </c>
      <c r="J92" s="5"/>
      <c r="K92" s="5">
        <v>1.6333329999999999</v>
      </c>
      <c r="L92" s="5">
        <v>-0.57817779999999996</v>
      </c>
      <c r="M92" s="5"/>
      <c r="N92" s="5">
        <v>2.0833330000000001</v>
      </c>
      <c r="O92" s="13">
        <v>-0.1175448</v>
      </c>
    </row>
    <row r="93" spans="2:15">
      <c r="B93" s="9">
        <v>2</v>
      </c>
      <c r="C93" s="5">
        <v>-0.57115939999999998</v>
      </c>
      <c r="D93" s="5"/>
      <c r="E93" s="5">
        <v>1.6333329999999999</v>
      </c>
      <c r="F93" s="5">
        <v>-0.5051466</v>
      </c>
      <c r="G93" s="5"/>
      <c r="H93" s="5">
        <v>1.85</v>
      </c>
      <c r="I93" s="5">
        <v>-0.50258210000000003</v>
      </c>
      <c r="J93" s="5"/>
      <c r="K93" s="5">
        <v>1.65</v>
      </c>
      <c r="L93" s="5">
        <v>-0.78224050000000001</v>
      </c>
      <c r="M93" s="5"/>
      <c r="N93" s="5">
        <v>2.1</v>
      </c>
      <c r="O93" s="13">
        <v>-0.31938939999999999</v>
      </c>
    </row>
    <row r="94" spans="2:15">
      <c r="B94" s="9">
        <v>2.016667</v>
      </c>
      <c r="C94" s="5">
        <v>-0.76720949999999999</v>
      </c>
      <c r="D94" s="5"/>
      <c r="E94" s="5">
        <v>1.65</v>
      </c>
      <c r="F94" s="5">
        <v>-0.69935420000000004</v>
      </c>
      <c r="G94" s="5"/>
      <c r="H94" s="5">
        <v>1.8666670000000001</v>
      </c>
      <c r="I94" s="5">
        <v>-0.68179749999999995</v>
      </c>
      <c r="J94" s="5"/>
      <c r="K94" s="5"/>
      <c r="L94" s="5"/>
      <c r="M94" s="5"/>
      <c r="N94" s="5">
        <v>2.1166670000000001</v>
      </c>
      <c r="O94" s="13">
        <v>-0.5307326</v>
      </c>
    </row>
    <row r="95" spans="2:15">
      <c r="B95" s="9"/>
      <c r="C95" s="5"/>
      <c r="D95" s="5"/>
      <c r="E95" s="5">
        <v>1.6666669999999999</v>
      </c>
      <c r="F95" s="5">
        <v>-0.82744870000000004</v>
      </c>
      <c r="G95" s="5"/>
      <c r="H95" s="5">
        <v>1.8833329999999999</v>
      </c>
      <c r="I95" s="5">
        <v>-0.80906630000000002</v>
      </c>
      <c r="J95" s="5"/>
      <c r="K95" s="5"/>
      <c r="L95" s="5"/>
      <c r="M95" s="5"/>
      <c r="N95" s="5">
        <v>2.1333329999999999</v>
      </c>
      <c r="O95" s="13">
        <v>-0.71358010000000005</v>
      </c>
    </row>
    <row r="96" spans="2:15" ht="16" thickBot="1">
      <c r="B96" s="1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2.15</v>
      </c>
      <c r="O96" s="14">
        <v>-0.81568980000000002</v>
      </c>
    </row>
    <row r="98" spans="2:27" ht="22" customHeight="1" thickBot="1"/>
    <row r="99" spans="2:27" ht="18" customHeight="1" thickBot="1">
      <c r="B99" s="132" t="s">
        <v>20</v>
      </c>
      <c r="C99" s="133"/>
      <c r="D99" s="133"/>
      <c r="E99" s="133"/>
      <c r="F99" s="133"/>
      <c r="G99" s="134"/>
      <c r="H99" s="133"/>
      <c r="I99" s="134"/>
      <c r="L99" s="135" t="s">
        <v>30</v>
      </c>
      <c r="M99" s="136"/>
      <c r="N99" s="136"/>
      <c r="O99" s="137"/>
    </row>
    <row r="100" spans="2:27" ht="18" customHeight="1" thickBot="1">
      <c r="B100" s="25"/>
      <c r="C100" s="23"/>
      <c r="D100" s="23"/>
      <c r="E100" s="23"/>
      <c r="F100" s="23"/>
      <c r="G100" s="29"/>
      <c r="H100" s="23"/>
      <c r="I100" s="29"/>
      <c r="L100" s="59" t="s">
        <v>32</v>
      </c>
      <c r="M100" s="60" t="s">
        <v>33</v>
      </c>
      <c r="N100" s="60" t="s">
        <v>34</v>
      </c>
      <c r="O100" s="61" t="s">
        <v>35</v>
      </c>
      <c r="R100" s="58" t="s">
        <v>37</v>
      </c>
    </row>
    <row r="101" spans="2:27" ht="17" customHeight="1" thickBot="1">
      <c r="B101" s="35" t="s">
        <v>1</v>
      </c>
      <c r="C101" s="36" t="s">
        <v>2</v>
      </c>
      <c r="D101" s="36" t="s">
        <v>3</v>
      </c>
      <c r="E101" s="36" t="s">
        <v>4</v>
      </c>
      <c r="F101" s="36" t="s">
        <v>5</v>
      </c>
      <c r="G101" s="43" t="s">
        <v>6</v>
      </c>
      <c r="H101" s="38" t="s">
        <v>18</v>
      </c>
      <c r="I101" s="37" t="s">
        <v>27</v>
      </c>
      <c r="L101" s="51" t="s">
        <v>29</v>
      </c>
      <c r="M101" s="52">
        <v>0.04</v>
      </c>
      <c r="N101" s="62">
        <v>1E-3</v>
      </c>
      <c r="O101" s="63" t="s">
        <v>21</v>
      </c>
      <c r="R101" t="s">
        <v>38</v>
      </c>
      <c r="S101" t="s">
        <v>39</v>
      </c>
    </row>
    <row r="102" spans="2:27" ht="17" customHeight="1">
      <c r="B102" s="33">
        <v>2.83</v>
      </c>
      <c r="C102" s="22">
        <f>ABS(C4)</f>
        <v>9.5211121671820163</v>
      </c>
      <c r="D102" s="22">
        <f>ABS(F4)</f>
        <v>9.1797923535645705</v>
      </c>
      <c r="E102" s="22">
        <f>ABS(I4)</f>
        <v>8.8354150457312848</v>
      </c>
      <c r="F102" s="22">
        <f>ABS(L4)</f>
        <v>8.8870698025979706</v>
      </c>
      <c r="G102" s="44">
        <f>ABS(O4)</f>
        <v>8.7834131132017994</v>
      </c>
      <c r="H102" s="39">
        <f>AVERAGE(C102:G102)</f>
        <v>9.0413604964555283</v>
      </c>
      <c r="I102" s="34">
        <f>2*(B102/1000)*$M$103/($M$102*$M$104*H102^2)</f>
        <v>0.45314237310662481</v>
      </c>
      <c r="L102" s="53" t="s">
        <v>36</v>
      </c>
      <c r="M102" s="70">
        <f>101325/(287.05*((73-32)*5/9+273.15))</f>
        <v>1.1928156494666371</v>
      </c>
      <c r="N102" s="67">
        <v>5.0000000000000001E-3</v>
      </c>
      <c r="O102" s="64" t="s">
        <v>22</v>
      </c>
      <c r="R102" t="s">
        <v>40</v>
      </c>
      <c r="S102" t="s">
        <v>41</v>
      </c>
    </row>
    <row r="103" spans="2:27" ht="17" customHeight="1">
      <c r="B103" s="26">
        <v>3.92</v>
      </c>
      <c r="C103" s="20">
        <f>ABS(C27)</f>
        <v>9.5334844085870305</v>
      </c>
      <c r="D103" s="20">
        <f>ABS(F27)</f>
        <v>10.025588319933886</v>
      </c>
      <c r="E103" s="20">
        <f>ABS(I27)</f>
        <v>9.4620999999999995</v>
      </c>
      <c r="F103" s="20">
        <f>ABS(L27)</f>
        <v>10.210334394474668</v>
      </c>
      <c r="G103" s="45">
        <f>ABS(O27)</f>
        <v>10.0075249470306</v>
      </c>
      <c r="H103" s="40">
        <f>AVERAGE(C103:G103)</f>
        <v>9.8478064140052375</v>
      </c>
      <c r="I103" s="30">
        <f>2*(B103/1000)*$M$103/($M$102*$M$104*H103^2)</f>
        <v>0.52908186070897678</v>
      </c>
      <c r="L103" s="53" t="s">
        <v>23</v>
      </c>
      <c r="M103" s="54">
        <v>9.81</v>
      </c>
      <c r="N103" s="68">
        <v>0.01</v>
      </c>
      <c r="O103" s="64" t="s">
        <v>24</v>
      </c>
      <c r="R103" t="s">
        <v>42</v>
      </c>
      <c r="S103" s="71">
        <v>46170</v>
      </c>
    </row>
    <row r="104" spans="2:27" ht="17" customHeight="1">
      <c r="B104" s="26">
        <v>5.3</v>
      </c>
      <c r="C104" s="20">
        <f>ABS(C46)</f>
        <v>11.081831985863888</v>
      </c>
      <c r="D104" s="20">
        <f>ABS(F46)</f>
        <v>10.675922836170368</v>
      </c>
      <c r="E104" s="20">
        <f>ABS(I46)</f>
        <v>10.723051545691877</v>
      </c>
      <c r="F104" s="20">
        <f>ABS(L46)</f>
        <v>10.22358917949591</v>
      </c>
      <c r="G104" s="45">
        <f>ABS(O46)</f>
        <v>11.0918606166197</v>
      </c>
      <c r="H104" s="40">
        <f>AVERAGE(C104:G104)</f>
        <v>10.759251232768348</v>
      </c>
      <c r="I104" s="30">
        <f>2*(B104/1000)*$M$103/($M$102*$M$104*H104^2)</f>
        <v>0.59927696296403954</v>
      </c>
      <c r="L104" s="53" t="s">
        <v>25</v>
      </c>
      <c r="M104" s="54">
        <f>PI()*M101^2/4</f>
        <v>1.2566370614359172E-3</v>
      </c>
      <c r="N104" s="69">
        <f>2*(N101/M101)*M104</f>
        <v>6.283185307179587E-5</v>
      </c>
      <c r="O104" s="64" t="s">
        <v>26</v>
      </c>
    </row>
    <row r="105" spans="2:27" ht="17" customHeight="1" thickBot="1">
      <c r="B105" s="27">
        <v>6.12</v>
      </c>
      <c r="C105" s="21">
        <f>ABS(C64)</f>
        <v>11.710036522572647</v>
      </c>
      <c r="D105" s="21">
        <f>ABS(F64)</f>
        <v>10.912379871266795</v>
      </c>
      <c r="E105" s="21">
        <f>ABS(I64)</f>
        <v>11.435741059715699</v>
      </c>
      <c r="F105" s="21">
        <f>ABS(L64)</f>
        <v>11.516329380974055</v>
      </c>
      <c r="G105" s="46">
        <f>ABS(O64)</f>
        <v>11.563749410272692</v>
      </c>
      <c r="H105" s="41">
        <f>AVERAGE(C105:G105)</f>
        <v>11.427647248960378</v>
      </c>
      <c r="I105" s="31">
        <f>2*(B105/1000)*$M$103/($M$102*$M$104*H105^2)</f>
        <v>0.61341385465326093</v>
      </c>
      <c r="L105" s="55" t="s">
        <v>28</v>
      </c>
      <c r="M105" s="56">
        <v>12</v>
      </c>
      <c r="N105" s="65">
        <v>1</v>
      </c>
      <c r="O105" s="66" t="s">
        <v>21</v>
      </c>
    </row>
    <row r="106" spans="2:27" ht="16" thickBot="1">
      <c r="B106" s="28">
        <v>7.59</v>
      </c>
      <c r="C106" s="24">
        <f>ABS(C82)</f>
        <v>12.144410829713157</v>
      </c>
      <c r="D106" s="24">
        <f>ABS(F82)</f>
        <v>11.717894671931299</v>
      </c>
      <c r="E106" s="24">
        <f>ABS(I82)</f>
        <v>11.525039894431153</v>
      </c>
      <c r="F106" s="24">
        <f>ABS(L82)</f>
        <v>12.251193496141926</v>
      </c>
      <c r="G106" s="47">
        <f>ABS(O82)</f>
        <v>12.120859687608414</v>
      </c>
      <c r="H106" s="42">
        <f>AVERAGE(C106:G106)</f>
        <v>11.951879715965191</v>
      </c>
      <c r="I106" s="32">
        <f>2*(B106/1000)*$M$103/($M$102*$M$104*H106^2)</f>
        <v>0.695480822571654</v>
      </c>
      <c r="L106" s="72" t="s">
        <v>44</v>
      </c>
      <c r="M106" s="73">
        <v>7.0000000000000007E-2</v>
      </c>
      <c r="N106" s="57"/>
      <c r="O106" s="57"/>
    </row>
    <row r="107" spans="2:27">
      <c r="L107" s="74" t="s">
        <v>45</v>
      </c>
      <c r="M107" s="76">
        <f>1/60</f>
        <v>1.6666666666666666E-2</v>
      </c>
      <c r="Y107" s="18"/>
    </row>
    <row r="108" spans="2:27">
      <c r="Y108" s="15"/>
      <c r="Z108" s="15"/>
      <c r="AA108" s="15"/>
    </row>
    <row r="109" spans="2:27">
      <c r="Y109" s="17"/>
      <c r="Z109" s="1"/>
      <c r="AA109" s="1"/>
    </row>
    <row r="110" spans="2:27" ht="16">
      <c r="B110" s="78" t="s">
        <v>31</v>
      </c>
      <c r="Y110" s="17"/>
      <c r="Z110" s="1"/>
      <c r="AA110" s="1"/>
    </row>
    <row r="111" spans="2:27" ht="16" thickBot="1">
      <c r="Y111" s="17"/>
      <c r="Z111" s="1"/>
      <c r="AA111" s="1"/>
    </row>
    <row r="112" spans="2:27" ht="42" customHeight="1">
      <c r="B112" s="79" t="s">
        <v>1</v>
      </c>
      <c r="C112" s="80" t="s">
        <v>47</v>
      </c>
      <c r="D112" s="80" t="s">
        <v>48</v>
      </c>
      <c r="E112" s="81" t="s">
        <v>49</v>
      </c>
      <c r="I112" t="s">
        <v>43</v>
      </c>
      <c r="J112" t="s">
        <v>46</v>
      </c>
      <c r="Y112" s="17"/>
      <c r="Z112" s="1"/>
      <c r="AA112" s="1"/>
    </row>
    <row r="113" spans="2:34">
      <c r="B113" s="82">
        <f>B102</f>
        <v>2.83</v>
      </c>
      <c r="C113" s="83">
        <v>0.1</v>
      </c>
      <c r="D113" s="84">
        <f>H102</f>
        <v>9.0413604964555283</v>
      </c>
      <c r="E113" s="85">
        <f>SQRT(I113^2+J113^2)</f>
        <v>0.29629096642137909</v>
      </c>
      <c r="I113" s="1">
        <f>SQRT($M$106^2+(H102*$M$107)^2)/SQRT(DEVSQ($B$6:$B$23)+DEVSQ($E$6:$E$23)+DEVSQ($H$6:$H$23)+DEVSQ($K$6:$K$23)+DEVSQ($N$6:$N$23))</f>
        <v>0.26207686769517419</v>
      </c>
      <c r="J113">
        <f>_xlfn.STDEV.S(C102:G102)/SQRT(COUNT(C102:G102))</f>
        <v>0.13821740918567735</v>
      </c>
      <c r="Y113" s="17"/>
      <c r="Z113" s="1"/>
      <c r="AA113" s="1"/>
    </row>
    <row r="114" spans="2:34">
      <c r="B114" s="86">
        <f t="shared" ref="B114:B117" si="4">B103</f>
        <v>3.92</v>
      </c>
      <c r="C114" s="92">
        <v>0.1</v>
      </c>
      <c r="D114" s="87">
        <f t="shared" ref="D114:D117" si="5">H103</f>
        <v>9.8478064140052375</v>
      </c>
      <c r="E114" s="88">
        <f t="shared" ref="E114:E117" si="6">SQRT(I114^2+J114^2)</f>
        <v>0.36820043919620354</v>
      </c>
      <c r="I114" s="1">
        <f>SQRT($M$106^2+(H103*$M$107)^2)/SQRT(DEVSQ($B$29:$B$42)+DEVSQ($E$29:$E$42)+DEVSQ($H$29:$H$42)+DEVSQ($K$29:$K$42)+DEVSQ($N$29:$N$42))</f>
        <v>0.33729219936873728</v>
      </c>
      <c r="J114">
        <f>_xlfn.STDEV.S(C103:G103)/SQRT(COUNT(C103:G103))</f>
        <v>0.1476669755540391</v>
      </c>
    </row>
    <row r="115" spans="2:34">
      <c r="B115" s="82">
        <f t="shared" si="4"/>
        <v>5.3</v>
      </c>
      <c r="C115" s="93">
        <v>0.1</v>
      </c>
      <c r="D115" s="84">
        <f t="shared" si="5"/>
        <v>10.759251232768348</v>
      </c>
      <c r="E115" s="85">
        <f t="shared" si="6"/>
        <v>0.44835482812299277</v>
      </c>
      <c r="I115" s="1">
        <f>SQRT($M$106^2+(H104*$M$107)^2)/SQRT(DEVSQ($B$48:$B$61)+DEVSQ($E$48:$E$61)+DEVSQ($H$48:$H$61)+DEVSQ($K$48:$K$61)+DEVSQ($N$48:$N$61))</f>
        <v>0.41896096591390453</v>
      </c>
      <c r="J115">
        <f>_xlfn.STDEV.S(C104:G104)/SQRT(COUNT(C104:G104))</f>
        <v>0.1596676577823026</v>
      </c>
    </row>
    <row r="116" spans="2:34">
      <c r="B116" s="86">
        <f t="shared" si="4"/>
        <v>6.12</v>
      </c>
      <c r="C116" s="92">
        <v>0.1</v>
      </c>
      <c r="D116" s="87">
        <f t="shared" si="5"/>
        <v>11.427647248960378</v>
      </c>
      <c r="E116" s="88">
        <f t="shared" si="6"/>
        <v>0.48200440146774182</v>
      </c>
      <c r="I116" s="1">
        <f>SQRT($M$106^2+(H105*$M$107)^2)/SQRT(DEVSQ($B$66:$B$79)+DEVSQ($E$66:$E$79)+DEVSQ($H$66:$H$79)+DEVSQ($K$66:$K$79)+DEVSQ($N$66:$N$79))</f>
        <v>0.46232385076340787</v>
      </c>
      <c r="J116">
        <f t="shared" ref="J116:J117" si="7">_xlfn.STDEV.S(C105:G105)/SQRT(COUNT(C105:G105))</f>
        <v>0.1363264466256279</v>
      </c>
    </row>
    <row r="117" spans="2:34" ht="16" thickBot="1">
      <c r="B117" s="89">
        <f t="shared" si="4"/>
        <v>7.59</v>
      </c>
      <c r="C117" s="94">
        <v>0.01</v>
      </c>
      <c r="D117" s="90">
        <f t="shared" si="5"/>
        <v>11.951879715965191</v>
      </c>
      <c r="E117" s="91">
        <f t="shared" si="6"/>
        <v>0.51243178321438221</v>
      </c>
      <c r="I117" s="1">
        <f>SQRT($M$106^2+(H106*$M$107)^2)/SQRT(DEVSQ($B$84:$B$97)+DEVSQ($E$84:$E$97)+DEVSQ($H$84:$H$97)+DEVSQ($K$84:$K$97)+DEVSQ($N$84:$N$97))</f>
        <v>0.49292870758890761</v>
      </c>
      <c r="J117">
        <f t="shared" si="7"/>
        <v>0.1400272176507153</v>
      </c>
    </row>
    <row r="119" spans="2:34">
      <c r="AH119" t="s">
        <v>21</v>
      </c>
    </row>
    <row r="120" spans="2:34" ht="16">
      <c r="B120" s="95" t="s">
        <v>50</v>
      </c>
    </row>
    <row r="121" spans="2:34" ht="16" thickBot="1"/>
    <row r="122" spans="2:34" ht="16">
      <c r="B122" s="96" t="s">
        <v>1</v>
      </c>
      <c r="C122" s="97" t="s">
        <v>51</v>
      </c>
      <c r="D122" s="97" t="s">
        <v>52</v>
      </c>
      <c r="E122" s="98" t="s">
        <v>53</v>
      </c>
    </row>
    <row r="123" spans="2:34">
      <c r="B123" s="99">
        <f>B113</f>
        <v>2.83</v>
      </c>
      <c r="C123" s="102">
        <f>2*(B123/1000)*$M$103/($M$102*$M$104*D113^2)</f>
        <v>0.45314237310662481</v>
      </c>
      <c r="D123" s="102">
        <f>C123*SQRT((C113/B123)^2+($N$103/$M$103)^2+($N$102/$M$102)^2+($N$104/$M$104)^2+(2*E113/D113)^2)</f>
        <v>4.068924408384407E-2</v>
      </c>
      <c r="E123" s="105">
        <f>D123/C123</f>
        <v>8.9793509719449383E-2</v>
      </c>
    </row>
    <row r="124" spans="2:34">
      <c r="B124" s="100">
        <f t="shared" ref="B124:B127" si="8">B114</f>
        <v>3.92</v>
      </c>
      <c r="C124" s="103">
        <f t="shared" ref="C124:C127" si="9">2*(B124/1000)*$M$103/($M$102*$M$104*D114^2)</f>
        <v>0.52908186070897678</v>
      </c>
      <c r="D124" s="103">
        <f t="shared" ref="D124:D127" si="10">C124*SQRT((C114/B124)^2+($N$103/$M$103)^2+($N$102/$M$102)^2+($N$104/$M$104)^2+(2*E114/D114)^2)</f>
        <v>4.9522611130104047E-2</v>
      </c>
      <c r="E124" s="106">
        <f t="shared" ref="E124:E127" si="11">D124/C124</f>
        <v>9.3601037585645225E-2</v>
      </c>
    </row>
    <row r="125" spans="2:34">
      <c r="B125" s="99">
        <f t="shared" si="8"/>
        <v>5.3</v>
      </c>
      <c r="C125" s="102">
        <f t="shared" si="9"/>
        <v>0.59927696296403954</v>
      </c>
      <c r="D125" s="102">
        <f t="shared" si="10"/>
        <v>5.9387970895248526E-2</v>
      </c>
      <c r="E125" s="105">
        <f t="shared" si="11"/>
        <v>9.9099372352833434E-2</v>
      </c>
    </row>
    <row r="126" spans="2:34">
      <c r="B126" s="100">
        <f t="shared" si="8"/>
        <v>6.12</v>
      </c>
      <c r="C126" s="103">
        <f t="shared" si="9"/>
        <v>0.61341385465326093</v>
      </c>
      <c r="D126" s="103">
        <f t="shared" si="10"/>
        <v>6.1039470446386537E-2</v>
      </c>
      <c r="E126" s="106">
        <f t="shared" si="11"/>
        <v>9.9507811868530069E-2</v>
      </c>
    </row>
    <row r="127" spans="2:34" ht="16" thickBot="1">
      <c r="B127" s="101">
        <f t="shared" si="8"/>
        <v>7.59</v>
      </c>
      <c r="C127" s="104">
        <f t="shared" si="9"/>
        <v>0.695480822571654</v>
      </c>
      <c r="D127" s="104">
        <f t="shared" si="10"/>
        <v>6.9105961721491485E-2</v>
      </c>
      <c r="E127" s="107">
        <f t="shared" si="11"/>
        <v>9.9364295144704198E-2</v>
      </c>
    </row>
    <row r="130" spans="2:8">
      <c r="B130">
        <v>2.83</v>
      </c>
      <c r="C130">
        <f>AVERAGE(C123:C127)</f>
        <v>0.57807917480091109</v>
      </c>
    </row>
    <row r="131" spans="2:8">
      <c r="B131">
        <v>7.59</v>
      </c>
      <c r="C131" s="108">
        <f>AVERAGE(C123:C127)</f>
        <v>0.57807917480091109</v>
      </c>
    </row>
    <row r="138" spans="2:8">
      <c r="B138" t="s">
        <v>54</v>
      </c>
    </row>
    <row r="140" spans="2:8" ht="16">
      <c r="B140" s="2" t="s">
        <v>55</v>
      </c>
      <c r="C140" t="s">
        <v>68</v>
      </c>
    </row>
    <row r="141" spans="2:8">
      <c r="B141" s="109" t="s">
        <v>69</v>
      </c>
    </row>
    <row r="142" spans="2:8">
      <c r="B142" s="109"/>
    </row>
    <row r="143" spans="2:8" ht="22" customHeight="1">
      <c r="B143" s="128" t="s">
        <v>1</v>
      </c>
      <c r="C143" s="129" t="s">
        <v>63</v>
      </c>
      <c r="D143" s="129" t="s">
        <v>64</v>
      </c>
      <c r="E143" s="129" t="s">
        <v>65</v>
      </c>
      <c r="F143" s="130" t="s">
        <v>67</v>
      </c>
      <c r="G143" s="131" t="s">
        <v>73</v>
      </c>
      <c r="H143" s="108">
        <f>AVERAGE($E$144:$E$148)</f>
        <v>0.45753351701674755</v>
      </c>
    </row>
    <row r="144" spans="2:8" ht="18" customHeight="1">
      <c r="B144" s="124">
        <f>B102</f>
        <v>2.83</v>
      </c>
      <c r="C144" s="125">
        <f>H102</f>
        <v>9.0413604964555283</v>
      </c>
      <c r="D144" s="125">
        <f>_xlfn.XLOOKUP(C144,'Vt model'!$B$10:$B$1210,'Vt model'!$A$10:$A$1210,,-1)</f>
        <v>9.3599999999999284</v>
      </c>
      <c r="E144" s="126">
        <f>2*(B144/1000)*$M$103/($M$102*$M$104*D144^2)</f>
        <v>0.42281515828592714</v>
      </c>
      <c r="F144" s="127">
        <f>_xlfn.LET(_xlpm.u,D144^2,_xlpm.c,2*$M$103*$M$105,_xlpm.Ee,EXP(-_xlpm.c/_xlpm.u),_xlpm.Dd,(1-_xlpm.Ee)-(_xlpm.c/_xlpm.u)*_xlpm.Ee,_xlpm.relv,2*C144*E113/(_xlpm.u*_xlpm.Dd),_xlpm.relh,2*$M$103*$N$105*_xlpm.Ee/(_xlpm.u*_xlpm.Dd),SQRT(_xlpm.relv^2+_xlpm.relh^2+(C113/B144)^2+($N$102/$M$102)^2+($N$104/$M$104)^2+($N$103/$M$103)^2)*E144)</f>
        <v>4.4035864560088962E-2</v>
      </c>
      <c r="H144">
        <f>$H$143</f>
        <v>0.45753351701674755</v>
      </c>
    </row>
    <row r="145" spans="2:8" ht="18" customHeight="1">
      <c r="B145" s="116">
        <f t="shared" ref="B145:B148" si="12">B103</f>
        <v>3.92</v>
      </c>
      <c r="C145" s="117">
        <f t="shared" ref="C145" si="13">H103</f>
        <v>9.8478064140052375</v>
      </c>
      <c r="D145" s="117">
        <f>_xlfn.XLOOKUP(C145,'Vt model'!$B$10:$B$1210,'Vt model'!$A$10:$A$1210,,-1)</f>
        <v>10.479999999999905</v>
      </c>
      <c r="E145" s="118">
        <f t="shared" ref="E145:E148" si="14">2*(B145/1000)*$M$103/($M$102*$M$104*D145^2)</f>
        <v>0.46717469681670376</v>
      </c>
      <c r="F145" s="119">
        <f t="shared" ref="F145:F148" si="15">_xlfn.LET(_xlpm.u,D145^2,_xlpm.c,2*$M$103*$M$105,_xlpm.Ee,EXP(-_xlpm.c/_xlpm.u),_xlpm.Dd,(1-_xlpm.Ee)-(_xlpm.c/_xlpm.u)*_xlpm.Ee,_xlpm.relv,2*C145*E114/(_xlpm.u*_xlpm.Dd),_xlpm.relh,2*$M$103*$N$105*_xlpm.Ee/(_xlpm.u*_xlpm.Dd),SQRT(_xlpm.relv^2+_xlpm.relh^2+(C114/B145)^2+($N$102/$M$102)^2+($N$104/$M$104)^2+($N$103/$M$103)^2)*E145)</f>
        <v>5.7600779040568408E-2</v>
      </c>
      <c r="H145">
        <f>$H$143</f>
        <v>0.45753351701674755</v>
      </c>
    </row>
    <row r="146" spans="2:8" ht="18" customHeight="1">
      <c r="B146" s="112">
        <f t="shared" si="12"/>
        <v>5.3</v>
      </c>
      <c r="C146" s="113">
        <f t="shared" ref="C146" si="16">H104</f>
        <v>10.759251232768348</v>
      </c>
      <c r="D146" s="113">
        <f>_xlfn.XLOOKUP(C146,'Vt model'!$B$10:$B$1210,'Vt model'!$A$10:$A$1210,,-1)</f>
        <v>11.979999999999873</v>
      </c>
      <c r="E146" s="114">
        <f t="shared" si="14"/>
        <v>0.48336816516254139</v>
      </c>
      <c r="F146" s="115">
        <f t="shared" si="15"/>
        <v>7.611624709347245E-2</v>
      </c>
      <c r="H146">
        <f>$H$143</f>
        <v>0.45753351701674755</v>
      </c>
    </row>
    <row r="147" spans="2:8" ht="18" customHeight="1">
      <c r="B147" s="116">
        <f t="shared" si="12"/>
        <v>6.12</v>
      </c>
      <c r="C147" s="117">
        <f t="shared" ref="C147" si="17">H105</f>
        <v>11.427647248960378</v>
      </c>
      <c r="D147" s="117">
        <f>_xlfn.XLOOKUP(C147,'Vt model'!$B$10:$B$1210,'Vt model'!$A$10:$A$1210,,-1)</f>
        <v>13.339999999999844</v>
      </c>
      <c r="E147" s="118">
        <f t="shared" si="14"/>
        <v>0.4501482578394817</v>
      </c>
      <c r="F147" s="119">
        <f t="shared" si="15"/>
        <v>8.4301677787220058E-2</v>
      </c>
      <c r="H147">
        <f>$H$143</f>
        <v>0.45753351701674755</v>
      </c>
    </row>
    <row r="148" spans="2:8" ht="18" customHeight="1">
      <c r="B148" s="120">
        <f t="shared" si="12"/>
        <v>7.59</v>
      </c>
      <c r="C148" s="121">
        <f t="shared" ref="C148" si="18">H106</f>
        <v>11.951879715965191</v>
      </c>
      <c r="D148" s="121">
        <f>_xlfn.XLOOKUP(C148,'Vt model'!$B$10:$B$1210,'Vt model'!$A$10:$A$1210,,-1)</f>
        <v>14.629999999999816</v>
      </c>
      <c r="E148" s="122">
        <f t="shared" si="14"/>
        <v>0.46416130697908353</v>
      </c>
      <c r="F148" s="123">
        <f t="shared" si="15"/>
        <v>0.10269924079997458</v>
      </c>
      <c r="H148">
        <f>$H$143</f>
        <v>0.45753351701674755</v>
      </c>
    </row>
    <row r="150" spans="2:8">
      <c r="B150" s="77" t="s">
        <v>66</v>
      </c>
      <c r="C150" s="110">
        <f>AVERAGE(E144:E148)</f>
        <v>0.45753351701674755</v>
      </c>
    </row>
    <row r="151" spans="2:8">
      <c r="B151" t="s">
        <v>70</v>
      </c>
      <c r="C151" s="1" cm="1">
        <f t="array" ref="C151">SQRT(AVERAGE((E144:E148-C150)^2))</f>
        <v>2.0318540688810394E-2</v>
      </c>
    </row>
    <row r="152" spans="2:8">
      <c r="B152" t="s">
        <v>71</v>
      </c>
      <c r="C152" s="1" cm="1">
        <f t="array" ref="C152">SQRT(AVERAGE(F144:F148^2))</f>
        <v>7.5768855242587474E-2</v>
      </c>
    </row>
    <row r="153" spans="2:8">
      <c r="B153" s="111" t="s">
        <v>72</v>
      </c>
      <c r="C153" s="110">
        <f>SQRT(C151^2+C152^2)</f>
        <v>7.8445920993350696E-2</v>
      </c>
    </row>
    <row r="155" spans="2:8">
      <c r="B155" s="109"/>
    </row>
  </sheetData>
  <mergeCells count="7">
    <mergeCell ref="B99:I99"/>
    <mergeCell ref="L99:O99"/>
    <mergeCell ref="B3:O3"/>
    <mergeCell ref="B26:O26"/>
    <mergeCell ref="B45:O45"/>
    <mergeCell ref="B63:O63"/>
    <mergeCell ref="B81:O8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6ED0-338A-754E-A5AC-9A9CE5840ED6}">
  <dimension ref="A1:B1210"/>
  <sheetViews>
    <sheetView workbookViewId="0">
      <selection activeCell="B10" sqref="B10"/>
    </sheetView>
  </sheetViews>
  <sheetFormatPr baseColWidth="10" defaultRowHeight="15"/>
  <cols>
    <col min="1" max="1" width="139.5" bestFit="1" customWidth="1"/>
    <col min="2" max="2" width="25" bestFit="1" customWidth="1"/>
  </cols>
  <sheetData>
    <row r="1" spans="1:2" ht="16">
      <c r="A1" s="2" t="s">
        <v>56</v>
      </c>
    </row>
    <row r="3" spans="1:2">
      <c r="A3" t="s">
        <v>57</v>
      </c>
    </row>
    <row r="4" spans="1:2">
      <c r="A4" t="s">
        <v>58</v>
      </c>
    </row>
    <row r="6" spans="1:2">
      <c r="A6" t="s">
        <v>59</v>
      </c>
      <c r="B6" s="75">
        <v>6</v>
      </c>
    </row>
    <row r="7" spans="1:2">
      <c r="A7" t="s">
        <v>60</v>
      </c>
      <c r="B7" s="75">
        <v>0.01</v>
      </c>
    </row>
    <row r="9" spans="1:2">
      <c r="A9" s="77" t="s">
        <v>61</v>
      </c>
      <c r="B9" s="77" t="s">
        <v>62</v>
      </c>
    </row>
    <row r="10" spans="1:2">
      <c r="A10" s="19">
        <f>$B$6</f>
        <v>6</v>
      </c>
      <c r="B10" s="108">
        <f>A10*SQRT(1-EXP(-2*Sheet1!$M$103*Sheet1!$M$105/A10^2))</f>
        <v>5.9956649684614014</v>
      </c>
    </row>
    <row r="11" spans="1:2">
      <c r="A11" s="19">
        <f>A10+$B$7</f>
        <v>6.01</v>
      </c>
      <c r="B11" s="108">
        <f>A11*SQRT(1-EXP(-2*Sheet1!$M$103*Sheet1!$M$105/A11^2))</f>
        <v>6.0055622489259903</v>
      </c>
    </row>
    <row r="12" spans="1:2">
      <c r="A12" s="19">
        <f t="shared" ref="A12:A75" si="0">A11+$B$7</f>
        <v>6.02</v>
      </c>
      <c r="B12" s="108">
        <f>A12*SQRT(1-EXP(-2*Sheet1!$M$103*Sheet1!$M$105/A12^2))</f>
        <v>6.0154575992601806</v>
      </c>
    </row>
    <row r="13" spans="1:2">
      <c r="A13" s="19">
        <f t="shared" si="0"/>
        <v>6.0299999999999994</v>
      </c>
      <c r="B13" s="108">
        <f>A13*SQRT(1-EXP(-2*Sheet1!$M$103*Sheet1!$M$105/A13^2))</f>
        <v>6.0253509940484777</v>
      </c>
    </row>
    <row r="14" spans="1:2">
      <c r="A14" s="19">
        <f t="shared" si="0"/>
        <v>6.0399999999999991</v>
      </c>
      <c r="B14" s="108">
        <f>A14*SQRT(1-EXP(-2*Sheet1!$M$103*Sheet1!$M$105/A14^2))</f>
        <v>6.035242407726404</v>
      </c>
    </row>
    <row r="15" spans="1:2">
      <c r="A15" s="19">
        <f t="shared" si="0"/>
        <v>6.0499999999999989</v>
      </c>
      <c r="B15" s="108">
        <f>A15*SQRT(1-EXP(-2*Sheet1!$M$103*Sheet1!$M$105/A15^2))</f>
        <v>6.0451318145820236</v>
      </c>
    </row>
    <row r="16" spans="1:2">
      <c r="A16" s="19">
        <f t="shared" si="0"/>
        <v>6.0599999999999987</v>
      </c>
      <c r="B16" s="108">
        <f>A16*SQRT(1-EXP(-2*Sheet1!$M$103*Sheet1!$M$105/A16^2))</f>
        <v>6.0550191887574902</v>
      </c>
    </row>
    <row r="17" spans="1:2">
      <c r="A17" s="19">
        <f t="shared" si="0"/>
        <v>6.0699999999999985</v>
      </c>
      <c r="B17" s="108">
        <f>A17*SQRT(1-EXP(-2*Sheet1!$M$103*Sheet1!$M$105/A17^2))</f>
        <v>6.0649045042506158</v>
      </c>
    </row>
    <row r="18" spans="1:2">
      <c r="A18" s="19">
        <f t="shared" si="0"/>
        <v>6.0799999999999983</v>
      </c>
      <c r="B18" s="108">
        <f>A18*SQRT(1-EXP(-2*Sheet1!$M$103*Sheet1!$M$105/A18^2))</f>
        <v>6.074787734916459</v>
      </c>
    </row>
    <row r="19" spans="1:2">
      <c r="A19" s="19">
        <f t="shared" si="0"/>
        <v>6.0899999999999981</v>
      </c>
      <c r="B19" s="108">
        <f>A19*SQRT(1-EXP(-2*Sheet1!$M$103*Sheet1!$M$105/A19^2))</f>
        <v>6.0846688544689318</v>
      </c>
    </row>
    <row r="20" spans="1:2">
      <c r="A20" s="19">
        <f t="shared" si="0"/>
        <v>6.0999999999999979</v>
      </c>
      <c r="B20" s="108">
        <f>A20*SQRT(1-EXP(-2*Sheet1!$M$103*Sheet1!$M$105/A20^2))</f>
        <v>6.0945478364824259</v>
      </c>
    </row>
    <row r="21" spans="1:2">
      <c r="A21" s="19">
        <f t="shared" si="0"/>
        <v>6.1099999999999977</v>
      </c>
      <c r="B21" s="108">
        <f>A21*SQRT(1-EXP(-2*Sheet1!$M$103*Sheet1!$M$105/A21^2))</f>
        <v>6.1044246543934584</v>
      </c>
    </row>
    <row r="22" spans="1:2">
      <c r="A22" s="19">
        <f t="shared" si="0"/>
        <v>6.1199999999999974</v>
      </c>
      <c r="B22" s="108">
        <f>A22*SQRT(1-EXP(-2*Sheet1!$M$103*Sheet1!$M$105/A22^2))</f>
        <v>6.1142992815023343</v>
      </c>
    </row>
    <row r="23" spans="1:2">
      <c r="A23" s="19">
        <f t="shared" si="0"/>
        <v>6.1299999999999972</v>
      </c>
      <c r="B23" s="108">
        <f>A23*SQRT(1-EXP(-2*Sheet1!$M$103*Sheet1!$M$105/A23^2))</f>
        <v>6.1241716909748281</v>
      </c>
    </row>
    <row r="24" spans="1:2">
      <c r="A24" s="19">
        <f t="shared" si="0"/>
        <v>6.139999999999997</v>
      </c>
      <c r="B24" s="108">
        <f>A24*SQRT(1-EXP(-2*Sheet1!$M$103*Sheet1!$M$105/A24^2))</f>
        <v>6.1340418558438818</v>
      </c>
    </row>
    <row r="25" spans="1:2">
      <c r="A25" s="19">
        <f t="shared" si="0"/>
        <v>6.1499999999999968</v>
      </c>
      <c r="B25" s="108">
        <f>A25*SQRT(1-EXP(-2*Sheet1!$M$103*Sheet1!$M$105/A25^2))</f>
        <v>6.1439097490113177</v>
      </c>
    </row>
    <row r="26" spans="1:2">
      <c r="A26" s="19">
        <f t="shared" si="0"/>
        <v>6.1599999999999966</v>
      </c>
      <c r="B26" s="108">
        <f>A26*SQRT(1-EXP(-2*Sheet1!$M$103*Sheet1!$M$105/A26^2))</f>
        <v>6.1537753432495741</v>
      </c>
    </row>
    <row r="27" spans="1:2">
      <c r="A27" s="19">
        <f t="shared" si="0"/>
        <v>6.1699999999999964</v>
      </c>
      <c r="B27" s="108">
        <f>A27*SQRT(1-EXP(-2*Sheet1!$M$103*Sheet1!$M$105/A27^2))</f>
        <v>6.1636386112034476</v>
      </c>
    </row>
    <row r="28" spans="1:2">
      <c r="A28" s="19">
        <f t="shared" si="0"/>
        <v>6.1799999999999962</v>
      </c>
      <c r="B28" s="108">
        <f>A28*SQRT(1-EXP(-2*Sheet1!$M$103*Sheet1!$M$105/A28^2))</f>
        <v>6.1734995253918603</v>
      </c>
    </row>
    <row r="29" spans="1:2">
      <c r="A29" s="19">
        <f t="shared" si="0"/>
        <v>6.1899999999999959</v>
      </c>
      <c r="B29" s="108">
        <f>A29*SQRT(1-EXP(-2*Sheet1!$M$103*Sheet1!$M$105/A29^2))</f>
        <v>6.1833580582096346</v>
      </c>
    </row>
    <row r="30" spans="1:2">
      <c r="A30" s="19">
        <f t="shared" si="0"/>
        <v>6.1999999999999957</v>
      </c>
      <c r="B30" s="108">
        <f>A30*SQRT(1-EXP(-2*Sheet1!$M$103*Sheet1!$M$105/A30^2))</f>
        <v>6.193214181929287</v>
      </c>
    </row>
    <row r="31" spans="1:2">
      <c r="A31" s="19">
        <f t="shared" si="0"/>
        <v>6.2099999999999955</v>
      </c>
      <c r="B31" s="108">
        <f>A31*SQRT(1-EXP(-2*Sheet1!$M$103*Sheet1!$M$105/A31^2))</f>
        <v>6.2030678687028322</v>
      </c>
    </row>
    <row r="32" spans="1:2">
      <c r="A32" s="19">
        <f t="shared" si="0"/>
        <v>6.2199999999999953</v>
      </c>
      <c r="B32" s="108">
        <f>A32*SQRT(1-EXP(-2*Sheet1!$M$103*Sheet1!$M$105/A32^2))</f>
        <v>6.2129190905636058</v>
      </c>
    </row>
    <row r="33" spans="1:2">
      <c r="A33" s="19">
        <f t="shared" si="0"/>
        <v>6.2299999999999951</v>
      </c>
      <c r="B33" s="108">
        <f>A33*SQRT(1-EXP(-2*Sheet1!$M$103*Sheet1!$M$105/A33^2))</f>
        <v>6.2227678194280998</v>
      </c>
    </row>
    <row r="34" spans="1:2">
      <c r="A34" s="19">
        <f t="shared" si="0"/>
        <v>6.2399999999999949</v>
      </c>
      <c r="B34" s="108">
        <f>A34*SQRT(1-EXP(-2*Sheet1!$M$103*Sheet1!$M$105/A34^2))</f>
        <v>6.2326140270978039</v>
      </c>
    </row>
    <row r="35" spans="1:2">
      <c r="A35" s="19">
        <f t="shared" si="0"/>
        <v>6.2499999999999947</v>
      </c>
      <c r="B35" s="108">
        <f>A35*SQRT(1-EXP(-2*Sheet1!$M$103*Sheet1!$M$105/A35^2))</f>
        <v>6.2424576852610647</v>
      </c>
    </row>
    <row r="36" spans="1:2">
      <c r="A36" s="19">
        <f t="shared" si="0"/>
        <v>6.2599999999999945</v>
      </c>
      <c r="B36" s="108">
        <f>A36*SQRT(1-EXP(-2*Sheet1!$M$103*Sheet1!$M$105/A36^2))</f>
        <v>6.2522987654949613</v>
      </c>
    </row>
    <row r="37" spans="1:2">
      <c r="A37" s="19">
        <f t="shared" si="0"/>
        <v>6.2699999999999942</v>
      </c>
      <c r="B37" s="108">
        <f>A37*SQRT(1-EXP(-2*Sheet1!$M$103*Sheet1!$M$105/A37^2))</f>
        <v>6.2621372392671804</v>
      </c>
    </row>
    <row r="38" spans="1:2">
      <c r="A38" s="19">
        <f t="shared" si="0"/>
        <v>6.279999999999994</v>
      </c>
      <c r="B38" s="108">
        <f>A38*SQRT(1-EXP(-2*Sheet1!$M$103*Sheet1!$M$105/A38^2))</f>
        <v>6.2719730779379166</v>
      </c>
    </row>
    <row r="39" spans="1:2">
      <c r="A39" s="19">
        <f t="shared" si="0"/>
        <v>6.2899999999999938</v>
      </c>
      <c r="B39" s="108">
        <f>A39*SQRT(1-EXP(-2*Sheet1!$M$103*Sheet1!$M$105/A39^2))</f>
        <v>6.2818062527617693</v>
      </c>
    </row>
    <row r="40" spans="1:2">
      <c r="A40" s="19">
        <f t="shared" si="0"/>
        <v>6.2999999999999936</v>
      </c>
      <c r="B40" s="108">
        <f>A40*SQRT(1-EXP(-2*Sheet1!$M$103*Sheet1!$M$105/A40^2))</f>
        <v>6.2916367348896598</v>
      </c>
    </row>
    <row r="41" spans="1:2">
      <c r="A41" s="19">
        <f t="shared" si="0"/>
        <v>6.3099999999999934</v>
      </c>
      <c r="B41" s="108">
        <f>A41*SQRT(1-EXP(-2*Sheet1!$M$103*Sheet1!$M$105/A41^2))</f>
        <v>6.3014644953707553</v>
      </c>
    </row>
    <row r="42" spans="1:2">
      <c r="A42" s="19">
        <f t="shared" si="0"/>
        <v>6.3199999999999932</v>
      </c>
      <c r="B42" s="108">
        <f>A42*SQRT(1-EXP(-2*Sheet1!$M$103*Sheet1!$M$105/A42^2))</f>
        <v>6.3112895051544005</v>
      </c>
    </row>
    <row r="43" spans="1:2">
      <c r="A43" s="19">
        <f t="shared" si="0"/>
        <v>6.329999999999993</v>
      </c>
      <c r="B43" s="108">
        <f>A43*SQRT(1-EXP(-2*Sheet1!$M$103*Sheet1!$M$105/A43^2))</f>
        <v>6.3211117350920594</v>
      </c>
    </row>
    <row r="44" spans="1:2">
      <c r="A44" s="19">
        <f t="shared" si="0"/>
        <v>6.3399999999999928</v>
      </c>
      <c r="B44" s="108">
        <f>A44*SQRT(1-EXP(-2*Sheet1!$M$103*Sheet1!$M$105/A44^2))</f>
        <v>6.3309311559392647</v>
      </c>
    </row>
    <row r="45" spans="1:2">
      <c r="A45" s="19">
        <f t="shared" si="0"/>
        <v>6.3499999999999925</v>
      </c>
      <c r="B45" s="108">
        <f>A45*SQRT(1-EXP(-2*Sheet1!$M$103*Sheet1!$M$105/A45^2))</f>
        <v>6.340747738357579</v>
      </c>
    </row>
    <row r="46" spans="1:2">
      <c r="A46" s="19">
        <f t="shared" si="0"/>
        <v>6.3599999999999923</v>
      </c>
      <c r="B46" s="108">
        <f>A46*SQRT(1-EXP(-2*Sheet1!$M$103*Sheet1!$M$105/A46^2))</f>
        <v>6.3505614529165557</v>
      </c>
    </row>
    <row r="47" spans="1:2">
      <c r="A47" s="19">
        <f t="shared" si="0"/>
        <v>6.3699999999999921</v>
      </c>
      <c r="B47" s="108">
        <f>A47*SQRT(1-EXP(-2*Sheet1!$M$103*Sheet1!$M$105/A47^2))</f>
        <v>6.3603722700957155</v>
      </c>
    </row>
    <row r="48" spans="1:2">
      <c r="A48" s="19">
        <f t="shared" si="0"/>
        <v>6.3799999999999919</v>
      </c>
      <c r="B48" s="108">
        <f>A48*SQRT(1-EXP(-2*Sheet1!$M$103*Sheet1!$M$105/A48^2))</f>
        <v>6.370180160286524</v>
      </c>
    </row>
    <row r="49" spans="1:2">
      <c r="A49" s="19">
        <f t="shared" si="0"/>
        <v>6.3899999999999917</v>
      </c>
      <c r="B49" s="108">
        <f>A49*SQRT(1-EXP(-2*Sheet1!$M$103*Sheet1!$M$105/A49^2))</f>
        <v>6.3799850937943772</v>
      </c>
    </row>
    <row r="50" spans="1:2">
      <c r="A50" s="19">
        <f t="shared" si="0"/>
        <v>6.3999999999999915</v>
      </c>
      <c r="B50" s="108">
        <f>A50*SQRT(1-EXP(-2*Sheet1!$M$103*Sheet1!$M$105/A50^2))</f>
        <v>6.3897870408405968</v>
      </c>
    </row>
    <row r="51" spans="1:2">
      <c r="A51" s="19">
        <f t="shared" si="0"/>
        <v>6.4099999999999913</v>
      </c>
      <c r="B51" s="108">
        <f>A51*SQRT(1-EXP(-2*Sheet1!$M$103*Sheet1!$M$105/A51^2))</f>
        <v>6.3995859715644192</v>
      </c>
    </row>
    <row r="52" spans="1:2">
      <c r="A52" s="19">
        <f t="shared" si="0"/>
        <v>6.419999999999991</v>
      </c>
      <c r="B52" s="108">
        <f>A52*SQRT(1-EXP(-2*Sheet1!$M$103*Sheet1!$M$105/A52^2))</f>
        <v>6.4093818560250098</v>
      </c>
    </row>
    <row r="53" spans="1:2">
      <c r="A53" s="19">
        <f t="shared" si="0"/>
        <v>6.4299999999999908</v>
      </c>
      <c r="B53" s="108">
        <f>A53*SQRT(1-EXP(-2*Sheet1!$M$103*Sheet1!$M$105/A53^2))</f>
        <v>6.4191746642034566</v>
      </c>
    </row>
    <row r="54" spans="1:2">
      <c r="A54" s="19">
        <f t="shared" si="0"/>
        <v>6.4399999999999906</v>
      </c>
      <c r="B54" s="108">
        <f>A54*SQRT(1-EXP(-2*Sheet1!$M$103*Sheet1!$M$105/A54^2))</f>
        <v>6.4289643660047924</v>
      </c>
    </row>
    <row r="55" spans="1:2">
      <c r="A55" s="19">
        <f t="shared" si="0"/>
        <v>6.4499999999999904</v>
      </c>
      <c r="B55" s="108">
        <f>A55*SQRT(1-EXP(-2*Sheet1!$M$103*Sheet1!$M$105/A55^2))</f>
        <v>6.4387509312600013</v>
      </c>
    </row>
    <row r="56" spans="1:2">
      <c r="A56" s="19">
        <f t="shared" si="0"/>
        <v>6.4599999999999902</v>
      </c>
      <c r="B56" s="108">
        <f>A56*SQRT(1-EXP(-2*Sheet1!$M$103*Sheet1!$M$105/A56^2))</f>
        <v>6.4485343297280409</v>
      </c>
    </row>
    <row r="57" spans="1:2">
      <c r="A57" s="19">
        <f t="shared" si="0"/>
        <v>6.46999999999999</v>
      </c>
      <c r="B57" s="108">
        <f>A57*SQRT(1-EXP(-2*Sheet1!$M$103*Sheet1!$M$105/A57^2))</f>
        <v>6.4583145310978667</v>
      </c>
    </row>
    <row r="58" spans="1:2">
      <c r="A58" s="19">
        <f t="shared" si="0"/>
        <v>6.4799999999999898</v>
      </c>
      <c r="B58" s="108">
        <f>A58*SQRT(1-EXP(-2*Sheet1!$M$103*Sheet1!$M$105/A58^2))</f>
        <v>6.4680915049904506</v>
      </c>
    </row>
    <row r="59" spans="1:2">
      <c r="A59" s="19">
        <f t="shared" si="0"/>
        <v>6.4899999999999896</v>
      </c>
      <c r="B59" s="108">
        <f>A59*SQRT(1-EXP(-2*Sheet1!$M$103*Sheet1!$M$105/A59^2))</f>
        <v>6.4778652209608083</v>
      </c>
    </row>
    <row r="60" spans="1:2">
      <c r="A60" s="19">
        <f t="shared" si="0"/>
        <v>6.4999999999999893</v>
      </c>
      <c r="B60" s="108">
        <f>A60*SQRT(1-EXP(-2*Sheet1!$M$103*Sheet1!$M$105/A60^2))</f>
        <v>6.4876356485000288</v>
      </c>
    </row>
    <row r="61" spans="1:2">
      <c r="A61" s="19">
        <f t="shared" si="0"/>
        <v>6.5099999999999891</v>
      </c>
      <c r="B61" s="108">
        <f>A61*SQRT(1-EXP(-2*Sheet1!$M$103*Sheet1!$M$105/A61^2))</f>
        <v>6.4974027570373067</v>
      </c>
    </row>
    <row r="62" spans="1:2">
      <c r="A62" s="19">
        <f t="shared" si="0"/>
        <v>6.5199999999999889</v>
      </c>
      <c r="B62" s="108">
        <f>A62*SQRT(1-EXP(-2*Sheet1!$M$103*Sheet1!$M$105/A62^2))</f>
        <v>6.5071665159419672</v>
      </c>
    </row>
    <row r="63" spans="1:2">
      <c r="A63" s="19">
        <f t="shared" si="0"/>
        <v>6.5299999999999887</v>
      </c>
      <c r="B63" s="108">
        <f>A63*SQRT(1-EXP(-2*Sheet1!$M$103*Sheet1!$M$105/A63^2))</f>
        <v>6.5169268945255006</v>
      </c>
    </row>
    <row r="64" spans="1:2">
      <c r="A64" s="19">
        <f t="shared" si="0"/>
        <v>6.5399999999999885</v>
      </c>
      <c r="B64" s="108">
        <f>A64*SQRT(1-EXP(-2*Sheet1!$M$103*Sheet1!$M$105/A64^2))</f>
        <v>6.526683862043595</v>
      </c>
    </row>
    <row r="65" spans="1:2">
      <c r="A65" s="19">
        <f t="shared" si="0"/>
        <v>6.5499999999999883</v>
      </c>
      <c r="B65" s="108">
        <f>A65*SQRT(1-EXP(-2*Sheet1!$M$103*Sheet1!$M$105/A65^2))</f>
        <v>6.5364373876981681</v>
      </c>
    </row>
    <row r="66" spans="1:2">
      <c r="A66" s="19">
        <f t="shared" si="0"/>
        <v>6.5599999999999881</v>
      </c>
      <c r="B66" s="108">
        <f>A66*SQRT(1-EXP(-2*Sheet1!$M$103*Sheet1!$M$105/A66^2))</f>
        <v>6.5461874406393967</v>
      </c>
    </row>
    <row r="67" spans="1:2">
      <c r="A67" s="19">
        <f t="shared" si="0"/>
        <v>6.5699999999999878</v>
      </c>
      <c r="B67" s="108">
        <f>A67*SQRT(1-EXP(-2*Sheet1!$M$103*Sheet1!$M$105/A67^2))</f>
        <v>6.5559339899677491</v>
      </c>
    </row>
    <row r="68" spans="1:2">
      <c r="A68" s="19">
        <f t="shared" si="0"/>
        <v>6.5799999999999876</v>
      </c>
      <c r="B68" s="108">
        <f>A68*SQRT(1-EXP(-2*Sheet1!$M$103*Sheet1!$M$105/A68^2))</f>
        <v>6.5656770047360151</v>
      </c>
    </row>
    <row r="69" spans="1:2">
      <c r="A69" s="19">
        <f t="shared" si="0"/>
        <v>6.5899999999999874</v>
      </c>
      <c r="B69" s="108">
        <f>A69*SQRT(1-EXP(-2*Sheet1!$M$103*Sheet1!$M$105/A69^2))</f>
        <v>6.5754164539513322</v>
      </c>
    </row>
    <row r="70" spans="1:2">
      <c r="A70" s="19">
        <f t="shared" si="0"/>
        <v>6.5999999999999872</v>
      </c>
      <c r="B70" s="108">
        <f>A70*SQRT(1-EXP(-2*Sheet1!$M$103*Sheet1!$M$105/A70^2))</f>
        <v>6.585152306577216</v>
      </c>
    </row>
    <row r="71" spans="1:2">
      <c r="A71" s="19">
        <f t="shared" si="0"/>
        <v>6.609999999999987</v>
      </c>
      <c r="B71" s="108">
        <f>A71*SQRT(1-EXP(-2*Sheet1!$M$103*Sheet1!$M$105/A71^2))</f>
        <v>6.5948845315355813</v>
      </c>
    </row>
    <row r="72" spans="1:2">
      <c r="A72" s="19">
        <f t="shared" si="0"/>
        <v>6.6199999999999868</v>
      </c>
      <c r="B72" s="108">
        <f>A72*SQRT(1-EXP(-2*Sheet1!$M$103*Sheet1!$M$105/A72^2))</f>
        <v>6.6046130977087678</v>
      </c>
    </row>
    <row r="73" spans="1:2">
      <c r="A73" s="19">
        <f t="shared" si="0"/>
        <v>6.6299999999999866</v>
      </c>
      <c r="B73" s="108">
        <f>A73*SQRT(1-EXP(-2*Sheet1!$M$103*Sheet1!$M$105/A73^2))</f>
        <v>6.6143379739415531</v>
      </c>
    </row>
    <row r="74" spans="1:2">
      <c r="A74" s="19">
        <f t="shared" si="0"/>
        <v>6.6399999999999864</v>
      </c>
      <c r="B74" s="108">
        <f>A74*SQRT(1-EXP(-2*Sheet1!$M$103*Sheet1!$M$105/A74^2))</f>
        <v>6.6240591290431761</v>
      </c>
    </row>
    <row r="75" spans="1:2">
      <c r="A75" s="19">
        <f t="shared" si="0"/>
        <v>6.6499999999999861</v>
      </c>
      <c r="B75" s="108">
        <f>A75*SQRT(1-EXP(-2*Sheet1!$M$103*Sheet1!$M$105/A75^2))</f>
        <v>6.6337765317893442</v>
      </c>
    </row>
    <row r="76" spans="1:2">
      <c r="A76" s="19">
        <f t="shared" ref="A76:A139" si="1">A75+$B$7</f>
        <v>6.6599999999999859</v>
      </c>
      <c r="B76" s="108">
        <f>A76*SQRT(1-EXP(-2*Sheet1!$M$103*Sheet1!$M$105/A76^2))</f>
        <v>6.6434901509242472</v>
      </c>
    </row>
    <row r="77" spans="1:2">
      <c r="A77" s="19">
        <f t="shared" si="1"/>
        <v>6.6699999999999857</v>
      </c>
      <c r="B77" s="108">
        <f>A77*SQRT(1-EXP(-2*Sheet1!$M$103*Sheet1!$M$105/A77^2))</f>
        <v>6.6531999551625578</v>
      </c>
    </row>
    <row r="78" spans="1:2">
      <c r="A78" s="19">
        <f t="shared" si="1"/>
        <v>6.6799999999999855</v>
      </c>
      <c r="B78" s="108">
        <f>A78*SQRT(1-EXP(-2*Sheet1!$M$103*Sheet1!$M$105/A78^2))</f>
        <v>6.6629059131914348</v>
      </c>
    </row>
    <row r="79" spans="1:2">
      <c r="A79" s="19">
        <f t="shared" si="1"/>
        <v>6.6899999999999853</v>
      </c>
      <c r="B79" s="108">
        <f>A79*SQRT(1-EXP(-2*Sheet1!$M$103*Sheet1!$M$105/A79^2))</f>
        <v>6.6726079936725196</v>
      </c>
    </row>
    <row r="80" spans="1:2">
      <c r="A80" s="19">
        <f t="shared" si="1"/>
        <v>6.6999999999999851</v>
      </c>
      <c r="B80" s="108">
        <f>A80*SQRT(1-EXP(-2*Sheet1!$M$103*Sheet1!$M$105/A80^2))</f>
        <v>6.682306165243924</v>
      </c>
    </row>
    <row r="81" spans="1:2">
      <c r="A81" s="19">
        <f t="shared" si="1"/>
        <v>6.7099999999999849</v>
      </c>
      <c r="B81" s="108">
        <f>A81*SQRT(1-EXP(-2*Sheet1!$M$103*Sheet1!$M$105/A81^2))</f>
        <v>6.6920003965222197</v>
      </c>
    </row>
    <row r="82" spans="1:2">
      <c r="A82" s="19">
        <f t="shared" si="1"/>
        <v>6.7199999999999847</v>
      </c>
      <c r="B82" s="108">
        <f>A82*SQRT(1-EXP(-2*Sheet1!$M$103*Sheet1!$M$105/A82^2))</f>
        <v>6.7016906561044145</v>
      </c>
    </row>
    <row r="83" spans="1:2">
      <c r="A83" s="19">
        <f t="shared" si="1"/>
        <v>6.7299999999999844</v>
      </c>
      <c r="B83" s="108">
        <f>A83*SQRT(1-EXP(-2*Sheet1!$M$103*Sheet1!$M$105/A83^2))</f>
        <v>6.711376912569933</v>
      </c>
    </row>
    <row r="84" spans="1:2">
      <c r="A84" s="19">
        <f t="shared" si="1"/>
        <v>6.7399999999999842</v>
      </c>
      <c r="B84" s="108">
        <f>A84*SQRT(1-EXP(-2*Sheet1!$M$103*Sheet1!$M$105/A84^2))</f>
        <v>6.7210591344825747</v>
      </c>
    </row>
    <row r="85" spans="1:2">
      <c r="A85" s="19">
        <f t="shared" si="1"/>
        <v>6.749999999999984</v>
      </c>
      <c r="B85" s="108">
        <f>A85*SQRT(1-EXP(-2*Sheet1!$M$103*Sheet1!$M$105/A85^2))</f>
        <v>6.7307372903924874</v>
      </c>
    </row>
    <row r="86" spans="1:2">
      <c r="A86" s="19">
        <f t="shared" si="1"/>
        <v>6.7599999999999838</v>
      </c>
      <c r="B86" s="108">
        <f>A86*SQRT(1-EXP(-2*Sheet1!$M$103*Sheet1!$M$105/A86^2))</f>
        <v>6.7404113488381121</v>
      </c>
    </row>
    <row r="87" spans="1:2">
      <c r="A87" s="19">
        <f t="shared" si="1"/>
        <v>6.7699999999999836</v>
      </c>
      <c r="B87" s="108">
        <f>A87*SQRT(1-EXP(-2*Sheet1!$M$103*Sheet1!$M$105/A87^2))</f>
        <v>6.7500812783481399</v>
      </c>
    </row>
    <row r="88" spans="1:2">
      <c r="A88" s="19">
        <f t="shared" si="1"/>
        <v>6.7799999999999834</v>
      </c>
      <c r="B88" s="108">
        <f>A88*SQRT(1-EXP(-2*Sheet1!$M$103*Sheet1!$M$105/A88^2))</f>
        <v>6.7597470474434447</v>
      </c>
    </row>
    <row r="89" spans="1:2">
      <c r="A89" s="19">
        <f t="shared" si="1"/>
        <v>6.7899999999999832</v>
      </c>
      <c r="B89" s="108">
        <f>A89*SQRT(1-EXP(-2*Sheet1!$M$103*Sheet1!$M$105/A89^2))</f>
        <v>6.7694086246390217</v>
      </c>
    </row>
    <row r="90" spans="1:2">
      <c r="A90" s="19">
        <f t="shared" si="1"/>
        <v>6.7999999999999829</v>
      </c>
      <c r="B90" s="108">
        <f>A90*SQRT(1-EXP(-2*Sheet1!$M$103*Sheet1!$M$105/A90^2))</f>
        <v>6.7790659784459146</v>
      </c>
    </row>
    <row r="91" spans="1:2">
      <c r="A91" s="19">
        <f t="shared" si="1"/>
        <v>6.8099999999999827</v>
      </c>
      <c r="B91" s="108">
        <f>A91*SQRT(1-EXP(-2*Sheet1!$M$103*Sheet1!$M$105/A91^2))</f>
        <v>6.7887190773731279</v>
      </c>
    </row>
    <row r="92" spans="1:2">
      <c r="A92" s="19">
        <f t="shared" si="1"/>
        <v>6.8199999999999825</v>
      </c>
      <c r="B92" s="108">
        <f>A92*SQRT(1-EXP(-2*Sheet1!$M$103*Sheet1!$M$105/A92^2))</f>
        <v>6.7983678899295414</v>
      </c>
    </row>
    <row r="93" spans="1:2">
      <c r="A93" s="19">
        <f t="shared" si="1"/>
        <v>6.8299999999999823</v>
      </c>
      <c r="B93" s="108">
        <f>A93*SQRT(1-EXP(-2*Sheet1!$M$103*Sheet1!$M$105/A93^2))</f>
        <v>6.8080123846258074</v>
      </c>
    </row>
    <row r="94" spans="1:2">
      <c r="A94" s="19">
        <f t="shared" si="1"/>
        <v>6.8399999999999821</v>
      </c>
      <c r="B94" s="108">
        <f>A94*SQRT(1-EXP(-2*Sheet1!$M$103*Sheet1!$M$105/A94^2))</f>
        <v>6.8176525299762458</v>
      </c>
    </row>
    <row r="95" spans="1:2">
      <c r="A95" s="19">
        <f t="shared" si="1"/>
        <v>6.8499999999999819</v>
      </c>
      <c r="B95" s="108">
        <f>A95*SQRT(1-EXP(-2*Sheet1!$M$103*Sheet1!$M$105/A95^2))</f>
        <v>6.8272882945007289</v>
      </c>
    </row>
    <row r="96" spans="1:2">
      <c r="A96" s="19">
        <f t="shared" si="1"/>
        <v>6.8599999999999817</v>
      </c>
      <c r="B96" s="108">
        <f>A96*SQRT(1-EXP(-2*Sheet1!$M$103*Sheet1!$M$105/A96^2))</f>
        <v>6.8369196467265514</v>
      </c>
    </row>
    <row r="97" spans="1:2">
      <c r="A97" s="19">
        <f t="shared" si="1"/>
        <v>6.8699999999999815</v>
      </c>
      <c r="B97" s="108">
        <f>A97*SQRT(1-EXP(-2*Sheet1!$M$103*Sheet1!$M$105/A97^2))</f>
        <v>6.8465465551902964</v>
      </c>
    </row>
    <row r="98" spans="1:2">
      <c r="A98" s="19">
        <f t="shared" si="1"/>
        <v>6.8799999999999812</v>
      </c>
      <c r="B98" s="108">
        <f>A98*SQRT(1-EXP(-2*Sheet1!$M$103*Sheet1!$M$105/A98^2))</f>
        <v>6.8561689884396975</v>
      </c>
    </row>
    <row r="99" spans="1:2">
      <c r="A99" s="19">
        <f t="shared" si="1"/>
        <v>6.889999999999981</v>
      </c>
      <c r="B99" s="108">
        <f>A99*SQRT(1-EXP(-2*Sheet1!$M$103*Sheet1!$M$105/A99^2))</f>
        <v>6.8657869150354713</v>
      </c>
    </row>
    <row r="100" spans="1:2">
      <c r="A100" s="19">
        <f t="shared" si="1"/>
        <v>6.8999999999999808</v>
      </c>
      <c r="B100" s="108">
        <f>A100*SQRT(1-EXP(-2*Sheet1!$M$103*Sheet1!$M$105/A100^2))</f>
        <v>6.8754003035531674</v>
      </c>
    </row>
    <row r="101" spans="1:2">
      <c r="A101" s="19">
        <f t="shared" si="1"/>
        <v>6.9099999999999806</v>
      </c>
      <c r="B101" s="108">
        <f>A101*SQRT(1-EXP(-2*Sheet1!$M$103*Sheet1!$M$105/A101^2))</f>
        <v>6.8850091225849841</v>
      </c>
    </row>
    <row r="102" spans="1:2">
      <c r="A102" s="19">
        <f t="shared" si="1"/>
        <v>6.9199999999999804</v>
      </c>
      <c r="B102" s="108">
        <f>A102*SQRT(1-EXP(-2*Sheet1!$M$103*Sheet1!$M$105/A102^2))</f>
        <v>6.8946133407415857</v>
      </c>
    </row>
    <row r="103" spans="1:2">
      <c r="A103" s="19">
        <f t="shared" si="1"/>
        <v>6.9299999999999802</v>
      </c>
      <c r="B103" s="108">
        <f>A103*SQRT(1-EXP(-2*Sheet1!$M$103*Sheet1!$M$105/A103^2))</f>
        <v>6.9042129266539094</v>
      </c>
    </row>
    <row r="104" spans="1:2">
      <c r="A104" s="19">
        <f t="shared" si="1"/>
        <v>6.93999999999998</v>
      </c>
      <c r="B104" s="108">
        <f>A104*SQRT(1-EXP(-2*Sheet1!$M$103*Sheet1!$M$105/A104^2))</f>
        <v>6.9138078489749564</v>
      </c>
    </row>
    <row r="105" spans="1:2">
      <c r="A105" s="19">
        <f t="shared" si="1"/>
        <v>6.9499999999999797</v>
      </c>
      <c r="B105" s="108">
        <f>A105*SQRT(1-EXP(-2*Sheet1!$M$103*Sheet1!$M$105/A105^2))</f>
        <v>6.9233980763815746</v>
      </c>
    </row>
    <row r="106" spans="1:2">
      <c r="A106" s="19">
        <f t="shared" si="1"/>
        <v>6.9599999999999795</v>
      </c>
      <c r="B106" s="108">
        <f>A106*SQRT(1-EXP(-2*Sheet1!$M$103*Sheet1!$M$105/A106^2))</f>
        <v>6.9329835775762305</v>
      </c>
    </row>
    <row r="107" spans="1:2">
      <c r="A107" s="19">
        <f t="shared" si="1"/>
        <v>6.9699999999999793</v>
      </c>
      <c r="B107" s="108">
        <f>A107*SQRT(1-EXP(-2*Sheet1!$M$103*Sheet1!$M$105/A107^2))</f>
        <v>6.9425643212887715</v>
      </c>
    </row>
    <row r="108" spans="1:2">
      <c r="A108" s="19">
        <f t="shared" si="1"/>
        <v>6.9799999999999791</v>
      </c>
      <c r="B108" s="108">
        <f>A108*SQRT(1-EXP(-2*Sheet1!$M$103*Sheet1!$M$105/A108^2))</f>
        <v>6.952140276278171</v>
      </c>
    </row>
    <row r="109" spans="1:2">
      <c r="A109" s="19">
        <f t="shared" si="1"/>
        <v>6.9899999999999789</v>
      </c>
      <c r="B109" s="108">
        <f>A109*SQRT(1-EXP(-2*Sheet1!$M$103*Sheet1!$M$105/A109^2))</f>
        <v>6.9617114113342664</v>
      </c>
    </row>
    <row r="110" spans="1:2">
      <c r="A110" s="19">
        <f t="shared" si="1"/>
        <v>6.9999999999999787</v>
      </c>
      <c r="B110" s="108">
        <f>A110*SQRT(1-EXP(-2*Sheet1!$M$103*Sheet1!$M$105/A110^2))</f>
        <v>6.9712776952794879</v>
      </c>
    </row>
    <row r="111" spans="1:2">
      <c r="A111" s="19">
        <f t="shared" si="1"/>
        <v>7.0099999999999785</v>
      </c>
      <c r="B111" s="108">
        <f>A111*SQRT(1-EXP(-2*Sheet1!$M$103*Sheet1!$M$105/A111^2))</f>
        <v>6.9808390969705671</v>
      </c>
    </row>
    <row r="112" spans="1:2">
      <c r="A112" s="19">
        <f t="shared" si="1"/>
        <v>7.0199999999999783</v>
      </c>
      <c r="B112" s="108">
        <f>A112*SQRT(1-EXP(-2*Sheet1!$M$103*Sheet1!$M$105/A112^2))</f>
        <v>6.9903955853002397</v>
      </c>
    </row>
    <row r="113" spans="1:2">
      <c r="A113" s="19">
        <f t="shared" si="1"/>
        <v>7.029999999999978</v>
      </c>
      <c r="B113" s="108">
        <f>A113*SQRT(1-EXP(-2*Sheet1!$M$103*Sheet1!$M$105/A113^2))</f>
        <v>6.9999471291989348</v>
      </c>
    </row>
    <row r="114" spans="1:2">
      <c r="A114" s="19">
        <f t="shared" si="1"/>
        <v>7.0399999999999778</v>
      </c>
      <c r="B114" s="108">
        <f>A114*SQRT(1-EXP(-2*Sheet1!$M$103*Sheet1!$M$105/A114^2))</f>
        <v>7.0094936976364517</v>
      </c>
    </row>
    <row r="115" spans="1:2">
      <c r="A115" s="19">
        <f t="shared" si="1"/>
        <v>7.0499999999999776</v>
      </c>
      <c r="B115" s="108">
        <f>A115*SQRT(1-EXP(-2*Sheet1!$M$103*Sheet1!$M$105/A115^2))</f>
        <v>7.0190352596236227</v>
      </c>
    </row>
    <row r="116" spans="1:2">
      <c r="A116" s="19">
        <f t="shared" si="1"/>
        <v>7.0599999999999774</v>
      </c>
      <c r="B116" s="108">
        <f>A116*SQRT(1-EXP(-2*Sheet1!$M$103*Sheet1!$M$105/A116^2))</f>
        <v>7.0285717842139661</v>
      </c>
    </row>
    <row r="117" spans="1:2">
      <c r="A117" s="19">
        <f t="shared" si="1"/>
        <v>7.0699999999999772</v>
      </c>
      <c r="B117" s="108">
        <f>A117*SQRT(1-EXP(-2*Sheet1!$M$103*Sheet1!$M$105/A117^2))</f>
        <v>7.0381032405053219</v>
      </c>
    </row>
    <row r="118" spans="1:2">
      <c r="A118" s="19">
        <f t="shared" si="1"/>
        <v>7.079999999999977</v>
      </c>
      <c r="B118" s="108">
        <f>A118*SQRT(1-EXP(-2*Sheet1!$M$103*Sheet1!$M$105/A118^2))</f>
        <v>7.0476295976414791</v>
      </c>
    </row>
    <row r="119" spans="1:2">
      <c r="A119" s="19">
        <f t="shared" si="1"/>
        <v>7.0899999999999768</v>
      </c>
      <c r="B119" s="108">
        <f>A119*SQRT(1-EXP(-2*Sheet1!$M$103*Sheet1!$M$105/A119^2))</f>
        <v>7.057150824813788</v>
      </c>
    </row>
    <row r="120" spans="1:2">
      <c r="A120" s="19">
        <f t="shared" si="1"/>
        <v>7.0999999999999766</v>
      </c>
      <c r="B120" s="108">
        <f>A120*SQRT(1-EXP(-2*Sheet1!$M$103*Sheet1!$M$105/A120^2))</f>
        <v>7.0666668912627584</v>
      </c>
    </row>
    <row r="121" spans="1:2">
      <c r="A121" s="19">
        <f t="shared" si="1"/>
        <v>7.1099999999999763</v>
      </c>
      <c r="B121" s="108">
        <f>A121*SQRT(1-EXP(-2*Sheet1!$M$103*Sheet1!$M$105/A121^2))</f>
        <v>7.0761777662796481</v>
      </c>
    </row>
    <row r="122" spans="1:2">
      <c r="A122" s="19">
        <f t="shared" si="1"/>
        <v>7.1199999999999761</v>
      </c>
      <c r="B122" s="108">
        <f>A122*SQRT(1-EXP(-2*Sheet1!$M$103*Sheet1!$M$105/A122^2))</f>
        <v>7.0856834192080305</v>
      </c>
    </row>
    <row r="123" spans="1:2">
      <c r="A123" s="19">
        <f t="shared" si="1"/>
        <v>7.1299999999999759</v>
      </c>
      <c r="B123" s="108">
        <f>A123*SQRT(1-EXP(-2*Sheet1!$M$103*Sheet1!$M$105/A123^2))</f>
        <v>7.0951838194453574</v>
      </c>
    </row>
    <row r="124" spans="1:2">
      <c r="A124" s="19">
        <f t="shared" si="1"/>
        <v>7.1399999999999757</v>
      </c>
      <c r="B124" s="108">
        <f>A124*SQRT(1-EXP(-2*Sheet1!$M$103*Sheet1!$M$105/A124^2))</f>
        <v>7.1046789364445067</v>
      </c>
    </row>
    <row r="125" spans="1:2">
      <c r="A125" s="19">
        <f t="shared" si="1"/>
        <v>7.1499999999999755</v>
      </c>
      <c r="B125" s="108">
        <f>A125*SQRT(1-EXP(-2*Sheet1!$M$103*Sheet1!$M$105/A125^2))</f>
        <v>7.1141687397153071</v>
      </c>
    </row>
    <row r="126" spans="1:2">
      <c r="A126" s="19">
        <f t="shared" si="1"/>
        <v>7.1599999999999753</v>
      </c>
      <c r="B126" s="108">
        <f>A126*SQRT(1-EXP(-2*Sheet1!$M$103*Sheet1!$M$105/A126^2))</f>
        <v>7.1236531988260614</v>
      </c>
    </row>
    <row r="127" spans="1:2">
      <c r="A127" s="19">
        <f t="shared" si="1"/>
        <v>7.1699999999999751</v>
      </c>
      <c r="B127" s="108">
        <f>A127*SQRT(1-EXP(-2*Sheet1!$M$103*Sheet1!$M$105/A127^2))</f>
        <v>7.1331322834050468</v>
      </c>
    </row>
    <row r="128" spans="1:2">
      <c r="A128" s="19">
        <f t="shared" si="1"/>
        <v>7.1799999999999748</v>
      </c>
      <c r="B128" s="108">
        <f>A128*SQRT(1-EXP(-2*Sheet1!$M$103*Sheet1!$M$105/A128^2))</f>
        <v>7.1426059631420111</v>
      </c>
    </row>
    <row r="129" spans="1:2">
      <c r="A129" s="19">
        <f t="shared" si="1"/>
        <v>7.1899999999999746</v>
      </c>
      <c r="B129" s="108">
        <f>A129*SQRT(1-EXP(-2*Sheet1!$M$103*Sheet1!$M$105/A129^2))</f>
        <v>7.1520742077896404</v>
      </c>
    </row>
    <row r="130" spans="1:2">
      <c r="A130" s="19">
        <f t="shared" si="1"/>
        <v>7.1999999999999744</v>
      </c>
      <c r="B130" s="108">
        <f>A130*SQRT(1-EXP(-2*Sheet1!$M$103*Sheet1!$M$105/A130^2))</f>
        <v>7.161536987165027</v>
      </c>
    </row>
    <row r="131" spans="1:2">
      <c r="A131" s="19">
        <f t="shared" si="1"/>
        <v>7.2099999999999742</v>
      </c>
      <c r="B131" s="108">
        <f>A131*SQRT(1-EXP(-2*Sheet1!$M$103*Sheet1!$M$105/A131^2))</f>
        <v>7.1709942711511152</v>
      </c>
    </row>
    <row r="132" spans="1:2">
      <c r="A132" s="19">
        <f t="shared" si="1"/>
        <v>7.219999999999974</v>
      </c>
      <c r="B132" s="108">
        <f>A132*SQRT(1-EXP(-2*Sheet1!$M$103*Sheet1!$M$105/A132^2))</f>
        <v>7.1804460296981318</v>
      </c>
    </row>
    <row r="133" spans="1:2">
      <c r="A133" s="19">
        <f t="shared" si="1"/>
        <v>7.2299999999999738</v>
      </c>
      <c r="B133" s="108">
        <f>A133*SQRT(1-EXP(-2*Sheet1!$M$103*Sheet1!$M$105/A133^2))</f>
        <v>7.1898922328250103</v>
      </c>
    </row>
    <row r="134" spans="1:2">
      <c r="A134" s="19">
        <f t="shared" si="1"/>
        <v>7.2399999999999736</v>
      </c>
      <c r="B134" s="108">
        <f>A134*SQRT(1-EXP(-2*Sheet1!$M$103*Sheet1!$M$105/A134^2))</f>
        <v>7.1993328506207925</v>
      </c>
    </row>
    <row r="135" spans="1:2">
      <c r="A135" s="19">
        <f t="shared" si="1"/>
        <v>7.2499999999999734</v>
      </c>
      <c r="B135" s="108">
        <f>A135*SQRT(1-EXP(-2*Sheet1!$M$103*Sheet1!$M$105/A135^2))</f>
        <v>7.2087678532460178</v>
      </c>
    </row>
    <row r="136" spans="1:2">
      <c r="A136" s="19">
        <f t="shared" si="1"/>
        <v>7.2599999999999731</v>
      </c>
      <c r="B136" s="108">
        <f>A136*SQRT(1-EXP(-2*Sheet1!$M$103*Sheet1!$M$105/A136^2))</f>
        <v>7.2181972109341004</v>
      </c>
    </row>
    <row r="137" spans="1:2">
      <c r="A137" s="19">
        <f t="shared" si="1"/>
        <v>7.2699999999999729</v>
      </c>
      <c r="B137" s="108">
        <f>A137*SQRT(1-EXP(-2*Sheet1!$M$103*Sheet1!$M$105/A137^2))</f>
        <v>7.2276208939926887</v>
      </c>
    </row>
    <row r="138" spans="1:2">
      <c r="A138" s="19">
        <f t="shared" si="1"/>
        <v>7.2799999999999727</v>
      </c>
      <c r="B138" s="108">
        <f>A138*SQRT(1-EXP(-2*Sheet1!$M$103*Sheet1!$M$105/A138^2))</f>
        <v>7.2370388728050132</v>
      </c>
    </row>
    <row r="139" spans="1:2">
      <c r="A139" s="19">
        <f t="shared" si="1"/>
        <v>7.2899999999999725</v>
      </c>
      <c r="B139" s="108">
        <f>A139*SQRT(1-EXP(-2*Sheet1!$M$103*Sheet1!$M$105/A139^2))</f>
        <v>7.2464511178312199</v>
      </c>
    </row>
    <row r="140" spans="1:2">
      <c r="A140" s="19">
        <f t="shared" ref="A140:A203" si="2">A139+$B$7</f>
        <v>7.2999999999999723</v>
      </c>
      <c r="B140" s="108">
        <f>A140*SQRT(1-EXP(-2*Sheet1!$M$103*Sheet1!$M$105/A140^2))</f>
        <v>7.2558575996096808</v>
      </c>
    </row>
    <row r="141" spans="1:2">
      <c r="A141" s="19">
        <f t="shared" si="2"/>
        <v>7.3099999999999721</v>
      </c>
      <c r="B141" s="108">
        <f>A141*SQRT(1-EXP(-2*Sheet1!$M$103*Sheet1!$M$105/A141^2))</f>
        <v>7.2652582887583028</v>
      </c>
    </row>
    <row r="142" spans="1:2">
      <c r="A142" s="19">
        <f t="shared" si="2"/>
        <v>7.3199999999999719</v>
      </c>
      <c r="B142" s="108">
        <f>A142*SQRT(1-EXP(-2*Sheet1!$M$103*Sheet1!$M$105/A142^2))</f>
        <v>7.2746531559758125</v>
      </c>
    </row>
    <row r="143" spans="1:2">
      <c r="A143" s="19">
        <f t="shared" si="2"/>
        <v>7.3299999999999716</v>
      </c>
      <c r="B143" s="108">
        <f>A143*SQRT(1-EXP(-2*Sheet1!$M$103*Sheet1!$M$105/A143^2))</f>
        <v>7.28404217204303</v>
      </c>
    </row>
    <row r="144" spans="1:2">
      <c r="A144" s="19">
        <f t="shared" si="2"/>
        <v>7.3399999999999714</v>
      </c>
      <c r="B144" s="108">
        <f>A144*SQRT(1-EXP(-2*Sheet1!$M$103*Sheet1!$M$105/A144^2))</f>
        <v>7.2934253078241218</v>
      </c>
    </row>
    <row r="145" spans="1:2">
      <c r="A145" s="19">
        <f t="shared" si="2"/>
        <v>7.3499999999999712</v>
      </c>
      <c r="B145" s="108">
        <f>A145*SQRT(1-EXP(-2*Sheet1!$M$103*Sheet1!$M$105/A145^2))</f>
        <v>7.3028025342678511</v>
      </c>
    </row>
    <row r="146" spans="1:2">
      <c r="A146" s="19">
        <f t="shared" si="2"/>
        <v>7.359999999999971</v>
      </c>
      <c r="B146" s="108">
        <f>A146*SQRT(1-EXP(-2*Sheet1!$M$103*Sheet1!$M$105/A146^2))</f>
        <v>7.312173822408802</v>
      </c>
    </row>
    <row r="147" spans="1:2">
      <c r="A147" s="19">
        <f t="shared" si="2"/>
        <v>7.3699999999999708</v>
      </c>
      <c r="B147" s="108">
        <f>A147*SQRT(1-EXP(-2*Sheet1!$M$103*Sheet1!$M$105/A147^2))</f>
        <v>7.3215391433685895</v>
      </c>
    </row>
    <row r="148" spans="1:2">
      <c r="A148" s="19">
        <f t="shared" si="2"/>
        <v>7.3799999999999706</v>
      </c>
      <c r="B148" s="108">
        <f>A148*SQRT(1-EXP(-2*Sheet1!$M$103*Sheet1!$M$105/A148^2))</f>
        <v>7.3308984683570655</v>
      </c>
    </row>
    <row r="149" spans="1:2">
      <c r="A149" s="19">
        <f t="shared" si="2"/>
        <v>7.3899999999999704</v>
      </c>
      <c r="B149" s="108">
        <f>A149*SQRT(1-EXP(-2*Sheet1!$M$103*Sheet1!$M$105/A149^2))</f>
        <v>7.3402517686734932</v>
      </c>
    </row>
    <row r="150" spans="1:2">
      <c r="A150" s="19">
        <f t="shared" si="2"/>
        <v>7.3999999999999702</v>
      </c>
      <c r="B150" s="108">
        <f>A150*SQRT(1-EXP(-2*Sheet1!$M$103*Sheet1!$M$105/A150^2))</f>
        <v>7.3495990157077209</v>
      </c>
    </row>
    <row r="151" spans="1:2">
      <c r="A151" s="19">
        <f t="shared" si="2"/>
        <v>7.4099999999999699</v>
      </c>
      <c r="B151" s="108">
        <f>A151*SQRT(1-EXP(-2*Sheet1!$M$103*Sheet1!$M$105/A151^2))</f>
        <v>7.3589401809413362</v>
      </c>
    </row>
    <row r="152" spans="1:2">
      <c r="A152" s="19">
        <f t="shared" si="2"/>
        <v>7.4199999999999697</v>
      </c>
      <c r="B152" s="108">
        <f>A152*SQRT(1-EXP(-2*Sheet1!$M$103*Sheet1!$M$105/A152^2))</f>
        <v>7.3682752359487989</v>
      </c>
    </row>
    <row r="153" spans="1:2">
      <c r="A153" s="19">
        <f t="shared" si="2"/>
        <v>7.4299999999999695</v>
      </c>
      <c r="B153" s="108">
        <f>A153*SQRT(1-EXP(-2*Sheet1!$M$103*Sheet1!$M$105/A153^2))</f>
        <v>7.3776041523985683</v>
      </c>
    </row>
    <row r="154" spans="1:2">
      <c r="A154" s="19">
        <f t="shared" si="2"/>
        <v>7.4399999999999693</v>
      </c>
      <c r="B154" s="108">
        <f>A154*SQRT(1-EXP(-2*Sheet1!$M$103*Sheet1!$M$105/A154^2))</f>
        <v>7.3869269020542099</v>
      </c>
    </row>
    <row r="155" spans="1:2">
      <c r="A155" s="19">
        <f t="shared" si="2"/>
        <v>7.4499999999999691</v>
      </c>
      <c r="B155" s="108">
        <f>A155*SQRT(1-EXP(-2*Sheet1!$M$103*Sheet1!$M$105/A155^2))</f>
        <v>7.3962434567754922</v>
      </c>
    </row>
    <row r="156" spans="1:2">
      <c r="A156" s="19">
        <f t="shared" si="2"/>
        <v>7.4599999999999689</v>
      </c>
      <c r="B156" s="108">
        <f>A156*SQRT(1-EXP(-2*Sheet1!$M$103*Sheet1!$M$105/A156^2))</f>
        <v>7.4055537885194589</v>
      </c>
    </row>
    <row r="157" spans="1:2">
      <c r="A157" s="19">
        <f t="shared" si="2"/>
        <v>7.4699999999999687</v>
      </c>
      <c r="B157" s="108">
        <f>A157*SQRT(1-EXP(-2*Sheet1!$M$103*Sheet1!$M$105/A157^2))</f>
        <v>7.414857869341497</v>
      </c>
    </row>
    <row r="158" spans="1:2">
      <c r="A158" s="19">
        <f t="shared" si="2"/>
        <v>7.4799999999999685</v>
      </c>
      <c r="B158" s="108">
        <f>A158*SQRT(1-EXP(-2*Sheet1!$M$103*Sheet1!$M$105/A158^2))</f>
        <v>7.4241556713963863</v>
      </c>
    </row>
    <row r="159" spans="1:2">
      <c r="A159" s="19">
        <f t="shared" si="2"/>
        <v>7.4899999999999682</v>
      </c>
      <c r="B159" s="108">
        <f>A159*SQRT(1-EXP(-2*Sheet1!$M$103*Sheet1!$M$105/A159^2))</f>
        <v>7.4334471669393265</v>
      </c>
    </row>
    <row r="160" spans="1:2">
      <c r="A160" s="19">
        <f t="shared" si="2"/>
        <v>7.499999999999968</v>
      </c>
      <c r="B160" s="108">
        <f>A160*SQRT(1-EXP(-2*Sheet1!$M$103*Sheet1!$M$105/A160^2))</f>
        <v>7.4427323283269651</v>
      </c>
    </row>
    <row r="161" spans="1:2">
      <c r="A161" s="19">
        <f t="shared" si="2"/>
        <v>7.5099999999999678</v>
      </c>
      <c r="B161" s="108">
        <f>A161*SQRT(1-EXP(-2*Sheet1!$M$103*Sheet1!$M$105/A161^2))</f>
        <v>7.4520111280183929</v>
      </c>
    </row>
    <row r="162" spans="1:2">
      <c r="A162" s="19">
        <f t="shared" si="2"/>
        <v>7.5199999999999676</v>
      </c>
      <c r="B162" s="108">
        <f>A162*SQRT(1-EXP(-2*Sheet1!$M$103*Sheet1!$M$105/A162^2))</f>
        <v>7.4612835385761382</v>
      </c>
    </row>
    <row r="163" spans="1:2">
      <c r="A163" s="19">
        <f t="shared" si="2"/>
        <v>7.5299999999999674</v>
      </c>
      <c r="B163" s="108">
        <f>A163*SQRT(1-EXP(-2*Sheet1!$M$103*Sheet1!$M$105/A163^2))</f>
        <v>7.4705495326671354</v>
      </c>
    </row>
    <row r="164" spans="1:2">
      <c r="A164" s="19">
        <f t="shared" si="2"/>
        <v>7.5399999999999672</v>
      </c>
      <c r="B164" s="108">
        <f>A164*SQRT(1-EXP(-2*Sheet1!$M$103*Sheet1!$M$105/A164^2))</f>
        <v>7.4798090830636923</v>
      </c>
    </row>
    <row r="165" spans="1:2">
      <c r="A165" s="19">
        <f t="shared" si="2"/>
        <v>7.549999999999967</v>
      </c>
      <c r="B165" s="108">
        <f>A165*SQRT(1-EXP(-2*Sheet1!$M$103*Sheet1!$M$105/A165^2))</f>
        <v>7.4890621626444265</v>
      </c>
    </row>
    <row r="166" spans="1:2">
      <c r="A166" s="19">
        <f t="shared" si="2"/>
        <v>7.5599999999999667</v>
      </c>
      <c r="B166" s="108">
        <f>A166*SQRT(1-EXP(-2*Sheet1!$M$103*Sheet1!$M$105/A166^2))</f>
        <v>7.4983087443952003</v>
      </c>
    </row>
    <row r="167" spans="1:2">
      <c r="A167" s="19">
        <f t="shared" si="2"/>
        <v>7.5699999999999665</v>
      </c>
      <c r="B167" s="108">
        <f>A167*SQRT(1-EXP(-2*Sheet1!$M$103*Sheet1!$M$105/A167^2))</f>
        <v>7.5075488014100342</v>
      </c>
    </row>
    <row r="168" spans="1:2">
      <c r="A168" s="19">
        <f t="shared" si="2"/>
        <v>7.5799999999999663</v>
      </c>
      <c r="B168" s="108">
        <f>A168*SQRT(1-EXP(-2*Sheet1!$M$103*Sheet1!$M$105/A168^2))</f>
        <v>7.5167823068920034</v>
      </c>
    </row>
    <row r="169" spans="1:2">
      <c r="A169" s="19">
        <f t="shared" si="2"/>
        <v>7.5899999999999661</v>
      </c>
      <c r="B169" s="108">
        <f>A169*SQRT(1-EXP(-2*Sheet1!$M$103*Sheet1!$M$105/A169^2))</f>
        <v>7.5260092341541291</v>
      </c>
    </row>
    <row r="170" spans="1:2">
      <c r="A170" s="19">
        <f t="shared" si="2"/>
        <v>7.5999999999999659</v>
      </c>
      <c r="B170" s="108">
        <f>A170*SQRT(1-EXP(-2*Sheet1!$M$103*Sheet1!$M$105/A170^2))</f>
        <v>7.5352295566202478</v>
      </c>
    </row>
    <row r="171" spans="1:2">
      <c r="A171" s="19">
        <f t="shared" si="2"/>
        <v>7.6099999999999657</v>
      </c>
      <c r="B171" s="108">
        <f>A171*SQRT(1-EXP(-2*Sheet1!$M$103*Sheet1!$M$105/A171^2))</f>
        <v>7.5444432478258632</v>
      </c>
    </row>
    <row r="172" spans="1:2">
      <c r="A172" s="19">
        <f t="shared" si="2"/>
        <v>7.6199999999999655</v>
      </c>
      <c r="B172" s="108">
        <f>A172*SQRT(1-EXP(-2*Sheet1!$M$103*Sheet1!$M$105/A172^2))</f>
        <v>7.5536502814189959</v>
      </c>
    </row>
    <row r="173" spans="1:2">
      <c r="A173" s="19">
        <f t="shared" si="2"/>
        <v>7.6299999999999653</v>
      </c>
      <c r="B173" s="108">
        <f>A173*SQRT(1-EXP(-2*Sheet1!$M$103*Sheet1!$M$105/A173^2))</f>
        <v>7.5628506311610018</v>
      </c>
    </row>
    <row r="174" spans="1:2">
      <c r="A174" s="19">
        <f t="shared" si="2"/>
        <v>7.639999999999965</v>
      </c>
      <c r="B174" s="108">
        <f>A174*SQRT(1-EXP(-2*Sheet1!$M$103*Sheet1!$M$105/A174^2))</f>
        <v>7.5720442709273925</v>
      </c>
    </row>
    <row r="175" spans="1:2">
      <c r="A175" s="19">
        <f t="shared" si="2"/>
        <v>7.6499999999999648</v>
      </c>
      <c r="B175" s="108">
        <f>A175*SQRT(1-EXP(-2*Sheet1!$M$103*Sheet1!$M$105/A175^2))</f>
        <v>7.581231174708627</v>
      </c>
    </row>
    <row r="176" spans="1:2">
      <c r="A176" s="19">
        <f t="shared" si="2"/>
        <v>7.6599999999999646</v>
      </c>
      <c r="B176" s="108">
        <f>A176*SQRT(1-EXP(-2*Sheet1!$M$103*Sheet1!$M$105/A176^2))</f>
        <v>7.5904113166109042</v>
      </c>
    </row>
    <row r="177" spans="1:2">
      <c r="A177" s="19">
        <f t="shared" si="2"/>
        <v>7.6699999999999644</v>
      </c>
      <c r="B177" s="108">
        <f>A177*SQRT(1-EXP(-2*Sheet1!$M$103*Sheet1!$M$105/A177^2))</f>
        <v>7.5995846708569221</v>
      </c>
    </row>
    <row r="178" spans="1:2">
      <c r="A178" s="19">
        <f t="shared" si="2"/>
        <v>7.6799999999999642</v>
      </c>
      <c r="B178" s="108">
        <f>A178*SQRT(1-EXP(-2*Sheet1!$M$103*Sheet1!$M$105/A178^2))</f>
        <v>7.6087512117866432</v>
      </c>
    </row>
    <row r="179" spans="1:2">
      <c r="A179" s="19">
        <f t="shared" si="2"/>
        <v>7.689999999999964</v>
      </c>
      <c r="B179" s="108">
        <f>A179*SQRT(1-EXP(-2*Sheet1!$M$103*Sheet1!$M$105/A179^2))</f>
        <v>7.6179109138580277</v>
      </c>
    </row>
    <row r="180" spans="1:2">
      <c r="A180" s="19">
        <f t="shared" si="2"/>
        <v>7.6999999999999638</v>
      </c>
      <c r="B180" s="108">
        <f>A180*SQRT(1-EXP(-2*Sheet1!$M$103*Sheet1!$M$105/A180^2))</f>
        <v>7.6270637516477686</v>
      </c>
    </row>
    <row r="181" spans="1:2">
      <c r="A181" s="19">
        <f t="shared" si="2"/>
        <v>7.7099999999999635</v>
      </c>
      <c r="B181" s="108">
        <f>A181*SQRT(1-EXP(-2*Sheet1!$M$103*Sheet1!$M$105/A181^2))</f>
        <v>7.6362096998519968</v>
      </c>
    </row>
    <row r="182" spans="1:2">
      <c r="A182" s="19">
        <f t="shared" si="2"/>
        <v>7.7199999999999633</v>
      </c>
      <c r="B182" s="108">
        <f>A182*SQRT(1-EXP(-2*Sheet1!$M$103*Sheet1!$M$105/A182^2))</f>
        <v>7.6453487332869834</v>
      </c>
    </row>
    <row r="183" spans="1:2">
      <c r="A183" s="19">
        <f t="shared" si="2"/>
        <v>7.7299999999999631</v>
      </c>
      <c r="B183" s="108">
        <f>A183*SQRT(1-EXP(-2*Sheet1!$M$103*Sheet1!$M$105/A183^2))</f>
        <v>7.6544808268898299</v>
      </c>
    </row>
    <row r="184" spans="1:2">
      <c r="A184" s="19">
        <f t="shared" si="2"/>
        <v>7.7399999999999629</v>
      </c>
      <c r="B184" s="108">
        <f>A184*SQRT(1-EXP(-2*Sheet1!$M$103*Sheet1!$M$105/A184^2))</f>
        <v>7.6636059557191274</v>
      </c>
    </row>
    <row r="185" spans="1:2">
      <c r="A185" s="19">
        <f t="shared" si="2"/>
        <v>7.7499999999999627</v>
      </c>
      <c r="B185" s="108">
        <f>A185*SQRT(1-EXP(-2*Sheet1!$M$103*Sheet1!$M$105/A185^2))</f>
        <v>7.672724094955627</v>
      </c>
    </row>
    <row r="186" spans="1:2">
      <c r="A186" s="19">
        <f t="shared" si="2"/>
        <v>7.7599999999999625</v>
      </c>
      <c r="B186" s="108">
        <f>A186*SQRT(1-EXP(-2*Sheet1!$M$103*Sheet1!$M$105/A186^2))</f>
        <v>7.6818352199028741</v>
      </c>
    </row>
    <row r="187" spans="1:2">
      <c r="A187" s="19">
        <f t="shared" si="2"/>
        <v>7.7699999999999623</v>
      </c>
      <c r="B187" s="108">
        <f>A187*SQRT(1-EXP(-2*Sheet1!$M$103*Sheet1!$M$105/A187^2))</f>
        <v>7.6909393059878424</v>
      </c>
    </row>
    <row r="188" spans="1:2">
      <c r="A188" s="19">
        <f t="shared" si="2"/>
        <v>7.7799999999999621</v>
      </c>
      <c r="B188" s="108">
        <f>A188*SQRT(1-EXP(-2*Sheet1!$M$103*Sheet1!$M$105/A188^2))</f>
        <v>7.7000363287615494</v>
      </c>
    </row>
    <row r="189" spans="1:2">
      <c r="A189" s="19">
        <f t="shared" si="2"/>
        <v>7.7899999999999618</v>
      </c>
      <c r="B189" s="108">
        <f>A189*SQRT(1-EXP(-2*Sheet1!$M$103*Sheet1!$M$105/A189^2))</f>
        <v>7.7091262638996589</v>
      </c>
    </row>
    <row r="190" spans="1:2">
      <c r="A190" s="19">
        <f t="shared" si="2"/>
        <v>7.7999999999999616</v>
      </c>
      <c r="B190" s="108">
        <f>A190*SQRT(1-EXP(-2*Sheet1!$M$103*Sheet1!$M$105/A190^2))</f>
        <v>7.7182090872030678</v>
      </c>
    </row>
    <row r="191" spans="1:2">
      <c r="A191" s="19">
        <f t="shared" si="2"/>
        <v>7.8099999999999614</v>
      </c>
      <c r="B191" s="108">
        <f>A191*SQRT(1-EXP(-2*Sheet1!$M$103*Sheet1!$M$105/A191^2))</f>
        <v>7.7272847745984867</v>
      </c>
    </row>
    <row r="192" spans="1:2">
      <c r="A192" s="19">
        <f t="shared" si="2"/>
        <v>7.8199999999999612</v>
      </c>
      <c r="B192" s="108">
        <f>A192*SQRT(1-EXP(-2*Sheet1!$M$103*Sheet1!$M$105/A192^2))</f>
        <v>7.7363533021389976</v>
      </c>
    </row>
    <row r="193" spans="1:2">
      <c r="A193" s="19">
        <f t="shared" si="2"/>
        <v>7.829999999999961</v>
      </c>
      <c r="B193" s="108">
        <f>A193*SQRT(1-EXP(-2*Sheet1!$M$103*Sheet1!$M$105/A193^2))</f>
        <v>7.7454146460046056</v>
      </c>
    </row>
    <row r="194" spans="1:2">
      <c r="A194" s="19">
        <f t="shared" si="2"/>
        <v>7.8399999999999608</v>
      </c>
      <c r="B194" s="108">
        <f>A194*SQRT(1-EXP(-2*Sheet1!$M$103*Sheet1!$M$105/A194^2))</f>
        <v>7.7544687825027738</v>
      </c>
    </row>
    <row r="195" spans="1:2">
      <c r="A195" s="19">
        <f t="shared" si="2"/>
        <v>7.8499999999999606</v>
      </c>
      <c r="B195" s="108">
        <f>A195*SQRT(1-EXP(-2*Sheet1!$M$103*Sheet1!$M$105/A195^2))</f>
        <v>7.7635156880689467</v>
      </c>
    </row>
    <row r="196" spans="1:2">
      <c r="A196" s="19">
        <f t="shared" si="2"/>
        <v>7.8599999999999604</v>
      </c>
      <c r="B196" s="108">
        <f>A196*SQRT(1-EXP(-2*Sheet1!$M$103*Sheet1!$M$105/A196^2))</f>
        <v>7.7725553392670568</v>
      </c>
    </row>
    <row r="197" spans="1:2">
      <c r="A197" s="19">
        <f t="shared" si="2"/>
        <v>7.8699999999999601</v>
      </c>
      <c r="B197" s="108">
        <f>A197*SQRT(1-EXP(-2*Sheet1!$M$103*Sheet1!$M$105/A197^2))</f>
        <v>7.7815877127900253</v>
      </c>
    </row>
    <row r="198" spans="1:2">
      <c r="A198" s="19">
        <f t="shared" si="2"/>
        <v>7.8799999999999599</v>
      </c>
      <c r="B198" s="108">
        <f>A198*SQRT(1-EXP(-2*Sheet1!$M$103*Sheet1!$M$105/A198^2))</f>
        <v>7.7906127854602465</v>
      </c>
    </row>
    <row r="199" spans="1:2">
      <c r="A199" s="19">
        <f t="shared" si="2"/>
        <v>7.8899999999999597</v>
      </c>
      <c r="B199" s="108">
        <f>A199*SQRT(1-EXP(-2*Sheet1!$M$103*Sheet1!$M$105/A199^2))</f>
        <v>7.7996305342300527</v>
      </c>
    </row>
    <row r="200" spans="1:2">
      <c r="A200" s="19">
        <f t="shared" si="2"/>
        <v>7.8999999999999595</v>
      </c>
      <c r="B200" s="108">
        <f>A200*SQRT(1-EXP(-2*Sheet1!$M$103*Sheet1!$M$105/A200^2))</f>
        <v>7.8086409361821794</v>
      </c>
    </row>
    <row r="201" spans="1:2">
      <c r="A201" s="19">
        <f t="shared" si="2"/>
        <v>7.9099999999999593</v>
      </c>
      <c r="B201" s="108">
        <f>A201*SQRT(1-EXP(-2*Sheet1!$M$103*Sheet1!$M$105/A201^2))</f>
        <v>7.817643968530203</v>
      </c>
    </row>
    <row r="202" spans="1:2">
      <c r="A202" s="19">
        <f t="shared" si="2"/>
        <v>7.9199999999999591</v>
      </c>
      <c r="B202" s="108">
        <f>A202*SQRT(1-EXP(-2*Sheet1!$M$103*Sheet1!$M$105/A202^2))</f>
        <v>7.8266396086189847</v>
      </c>
    </row>
    <row r="203" spans="1:2">
      <c r="A203" s="19">
        <f t="shared" si="2"/>
        <v>7.9299999999999589</v>
      </c>
      <c r="B203" s="108">
        <f>A203*SQRT(1-EXP(-2*Sheet1!$M$103*Sheet1!$M$105/A203^2))</f>
        <v>7.8356278339250807</v>
      </c>
    </row>
    <row r="204" spans="1:2">
      <c r="A204" s="19">
        <f t="shared" ref="A204:A267" si="3">A203+$B$7</f>
        <v>7.9399999999999586</v>
      </c>
      <c r="B204" s="108">
        <f>A204*SQRT(1-EXP(-2*Sheet1!$M$103*Sheet1!$M$105/A204^2))</f>
        <v>7.844608622057156</v>
      </c>
    </row>
    <row r="205" spans="1:2">
      <c r="A205" s="19">
        <f t="shared" si="3"/>
        <v>7.9499999999999584</v>
      </c>
      <c r="B205" s="108">
        <f>A205*SQRT(1-EXP(-2*Sheet1!$M$103*Sheet1!$M$105/A205^2))</f>
        <v>7.8535819507563795</v>
      </c>
    </row>
    <row r="206" spans="1:2">
      <c r="A206" s="19">
        <f t="shared" si="3"/>
        <v>7.9599999999999582</v>
      </c>
      <c r="B206" s="108">
        <f>A206*SQRT(1-EXP(-2*Sheet1!$M$103*Sheet1!$M$105/A206^2))</f>
        <v>7.862547797896803</v>
      </c>
    </row>
    <row r="207" spans="1:2">
      <c r="A207" s="19">
        <f t="shared" si="3"/>
        <v>7.969999999999958</v>
      </c>
      <c r="B207" s="108">
        <f>A207*SQRT(1-EXP(-2*Sheet1!$M$103*Sheet1!$M$105/A207^2))</f>
        <v>7.8715061414857397</v>
      </c>
    </row>
    <row r="208" spans="1:2">
      <c r="A208" s="19">
        <f t="shared" si="3"/>
        <v>7.9799999999999578</v>
      </c>
      <c r="B208" s="108">
        <f>A208*SQRT(1-EXP(-2*Sheet1!$M$103*Sheet1!$M$105/A208^2))</f>
        <v>7.8804569596641203</v>
      </c>
    </row>
    <row r="209" spans="1:2">
      <c r="A209" s="19">
        <f t="shared" si="3"/>
        <v>7.9899999999999576</v>
      </c>
      <c r="B209" s="108">
        <f>A209*SQRT(1-EXP(-2*Sheet1!$M$103*Sheet1!$M$105/A209^2))</f>
        <v>7.8894002307068369</v>
      </c>
    </row>
    <row r="210" spans="1:2">
      <c r="A210" s="19">
        <f t="shared" si="3"/>
        <v>7.9999999999999574</v>
      </c>
      <c r="B210" s="108">
        <f>A210*SQRT(1-EXP(-2*Sheet1!$M$103*Sheet1!$M$105/A210^2))</f>
        <v>7.8983359330230858</v>
      </c>
    </row>
    <row r="211" spans="1:2">
      <c r="A211" s="19">
        <f t="shared" si="3"/>
        <v>8.0099999999999572</v>
      </c>
      <c r="B211" s="108">
        <f>A211*SQRT(1-EXP(-2*Sheet1!$M$103*Sheet1!$M$105/A211^2))</f>
        <v>7.9072640451566842</v>
      </c>
    </row>
    <row r="212" spans="1:2">
      <c r="A212" s="19">
        <f t="shared" si="3"/>
        <v>8.0199999999999569</v>
      </c>
      <c r="B212" s="108">
        <f>A212*SQRT(1-EXP(-2*Sheet1!$M$103*Sheet1!$M$105/A212^2))</f>
        <v>7.9161845457863871</v>
      </c>
    </row>
    <row r="213" spans="1:2">
      <c r="A213" s="19">
        <f t="shared" si="3"/>
        <v>8.0299999999999567</v>
      </c>
      <c r="B213" s="108">
        <f>A213*SQRT(1-EXP(-2*Sheet1!$M$103*Sheet1!$M$105/A213^2))</f>
        <v>7.9250974137261849</v>
      </c>
    </row>
    <row r="214" spans="1:2">
      <c r="A214" s="19">
        <f t="shared" si="3"/>
        <v>8.0399999999999565</v>
      </c>
      <c r="B214" s="108">
        <f>A214*SQRT(1-EXP(-2*Sheet1!$M$103*Sheet1!$M$105/A214^2))</f>
        <v>7.9340026279255937</v>
      </c>
    </row>
    <row r="215" spans="1:2">
      <c r="A215" s="19">
        <f t="shared" si="3"/>
        <v>8.0499999999999563</v>
      </c>
      <c r="B215" s="108">
        <f>A215*SQRT(1-EXP(-2*Sheet1!$M$103*Sheet1!$M$105/A215^2))</f>
        <v>7.9429001674699311</v>
      </c>
    </row>
    <row r="216" spans="1:2">
      <c r="A216" s="19">
        <f t="shared" si="3"/>
        <v>8.0599999999999561</v>
      </c>
      <c r="B216" s="108">
        <f>A216*SQRT(1-EXP(-2*Sheet1!$M$103*Sheet1!$M$105/A216^2))</f>
        <v>7.9517900115805844</v>
      </c>
    </row>
    <row r="217" spans="1:2">
      <c r="A217" s="19">
        <f t="shared" si="3"/>
        <v>8.0699999999999559</v>
      </c>
      <c r="B217" s="108">
        <f>A217*SQRT(1-EXP(-2*Sheet1!$M$103*Sheet1!$M$105/A217^2))</f>
        <v>7.9606721396152631</v>
      </c>
    </row>
    <row r="218" spans="1:2">
      <c r="A218" s="19">
        <f t="shared" si="3"/>
        <v>8.0799999999999557</v>
      </c>
      <c r="B218" s="108">
        <f>A218*SQRT(1-EXP(-2*Sheet1!$M$103*Sheet1!$M$105/A218^2))</f>
        <v>7.9695465310682465</v>
      </c>
    </row>
    <row r="219" spans="1:2">
      <c r="A219" s="19">
        <f t="shared" si="3"/>
        <v>8.0899999999999554</v>
      </c>
      <c r="B219" s="108">
        <f>A219*SQRT(1-EXP(-2*Sheet1!$M$103*Sheet1!$M$105/A219^2))</f>
        <v>7.9784131655706121</v>
      </c>
    </row>
    <row r="220" spans="1:2">
      <c r="A220" s="19">
        <f t="shared" si="3"/>
        <v>8.0999999999999552</v>
      </c>
      <c r="B220" s="108">
        <f>A220*SQRT(1-EXP(-2*Sheet1!$M$103*Sheet1!$M$105/A220^2))</f>
        <v>7.9872720228904566</v>
      </c>
    </row>
    <row r="221" spans="1:2">
      <c r="A221" s="19">
        <f t="shared" si="3"/>
        <v>8.109999999999955</v>
      </c>
      <c r="B221" s="108">
        <f>A221*SQRT(1-EXP(-2*Sheet1!$M$103*Sheet1!$M$105/A221^2))</f>
        <v>7.9961230829331118</v>
      </c>
    </row>
    <row r="222" spans="1:2">
      <c r="A222" s="19">
        <f t="shared" si="3"/>
        <v>8.1199999999999548</v>
      </c>
      <c r="B222" s="108">
        <f>A222*SQRT(1-EXP(-2*Sheet1!$M$103*Sheet1!$M$105/A222^2))</f>
        <v>8.004966325741341</v>
      </c>
    </row>
    <row r="223" spans="1:2">
      <c r="A223" s="19">
        <f t="shared" si="3"/>
        <v>8.1299999999999546</v>
      </c>
      <c r="B223" s="108">
        <f>A223*SQRT(1-EXP(-2*Sheet1!$M$103*Sheet1!$M$105/A223^2))</f>
        <v>8.0138017314955299</v>
      </c>
    </row>
    <row r="224" spans="1:2">
      <c r="A224" s="19">
        <f t="shared" si="3"/>
        <v>8.1399999999999544</v>
      </c>
      <c r="B224" s="108">
        <f>A224*SQRT(1-EXP(-2*Sheet1!$M$103*Sheet1!$M$105/A224^2))</f>
        <v>8.0226292805138613</v>
      </c>
    </row>
    <row r="225" spans="1:2">
      <c r="A225" s="19">
        <f t="shared" si="3"/>
        <v>8.1499999999999542</v>
      </c>
      <c r="B225" s="108">
        <f>A225*SQRT(1-EXP(-2*Sheet1!$M$103*Sheet1!$M$105/A225^2))</f>
        <v>8.0314489532524895</v>
      </c>
    </row>
    <row r="226" spans="1:2">
      <c r="A226" s="19">
        <f t="shared" si="3"/>
        <v>8.159999999999954</v>
      </c>
      <c r="B226" s="108">
        <f>A226*SQRT(1-EXP(-2*Sheet1!$M$103*Sheet1!$M$105/A226^2))</f>
        <v>8.0402607303056932</v>
      </c>
    </row>
    <row r="227" spans="1:2">
      <c r="A227" s="19">
        <f t="shared" si="3"/>
        <v>8.1699999999999537</v>
      </c>
      <c r="B227" s="108">
        <f>A227*SQRT(1-EXP(-2*Sheet1!$M$103*Sheet1!$M$105/A227^2))</f>
        <v>8.0490645924060225</v>
      </c>
    </row>
    <row r="228" spans="1:2">
      <c r="A228" s="19">
        <f t="shared" si="3"/>
        <v>8.1799999999999535</v>
      </c>
      <c r="B228" s="108">
        <f>A228*SQRT(1-EXP(-2*Sheet1!$M$103*Sheet1!$M$105/A228^2))</f>
        <v>8.0578605204244429</v>
      </c>
    </row>
    <row r="229" spans="1:2">
      <c r="A229" s="19">
        <f t="shared" si="3"/>
        <v>8.1899999999999533</v>
      </c>
      <c r="B229" s="108">
        <f>A229*SQRT(1-EXP(-2*Sheet1!$M$103*Sheet1!$M$105/A229^2))</f>
        <v>8.0666484953704547</v>
      </c>
    </row>
    <row r="230" spans="1:2">
      <c r="A230" s="19">
        <f t="shared" si="3"/>
        <v>8.1999999999999531</v>
      </c>
      <c r="B230" s="108">
        <f>A230*SQRT(1-EXP(-2*Sheet1!$M$103*Sheet1!$M$105/A230^2))</f>
        <v>8.0754284983922133</v>
      </c>
    </row>
    <row r="231" spans="1:2">
      <c r="A231" s="19">
        <f t="shared" si="3"/>
        <v>8.2099999999999529</v>
      </c>
      <c r="B231" s="108">
        <f>A231*SQRT(1-EXP(-2*Sheet1!$M$103*Sheet1!$M$105/A231^2))</f>
        <v>8.0842005107766362</v>
      </c>
    </row>
    <row r="232" spans="1:2">
      <c r="A232" s="19">
        <f t="shared" si="3"/>
        <v>8.2199999999999527</v>
      </c>
      <c r="B232" s="108">
        <f>A232*SQRT(1-EXP(-2*Sheet1!$M$103*Sheet1!$M$105/A232^2))</f>
        <v>8.0929645139495019</v>
      </c>
    </row>
    <row r="233" spans="1:2">
      <c r="A233" s="19">
        <f t="shared" si="3"/>
        <v>8.2299999999999525</v>
      </c>
      <c r="B233" s="108">
        <f>A233*SQRT(1-EXP(-2*Sheet1!$M$103*Sheet1!$M$105/A233^2))</f>
        <v>8.1017204894755341</v>
      </c>
    </row>
    <row r="234" spans="1:2">
      <c r="A234" s="19">
        <f t="shared" si="3"/>
        <v>8.2399999999999523</v>
      </c>
      <c r="B234" s="108">
        <f>A234*SQRT(1-EXP(-2*Sheet1!$M$103*Sheet1!$M$105/A234^2))</f>
        <v>8.1104684190584795</v>
      </c>
    </row>
    <row r="235" spans="1:2">
      <c r="A235" s="19">
        <f t="shared" si="3"/>
        <v>8.249999999999952</v>
      </c>
      <c r="B235" s="108">
        <f>A235*SQRT(1-EXP(-2*Sheet1!$M$103*Sheet1!$M$105/A235^2))</f>
        <v>8.1192082845411839</v>
      </c>
    </row>
    <row r="236" spans="1:2">
      <c r="A236" s="19">
        <f t="shared" si="3"/>
        <v>8.2599999999999518</v>
      </c>
      <c r="B236" s="108">
        <f>A236*SQRT(1-EXP(-2*Sheet1!$M$103*Sheet1!$M$105/A236^2))</f>
        <v>8.1279400679056373</v>
      </c>
    </row>
    <row r="237" spans="1:2">
      <c r="A237" s="19">
        <f t="shared" si="3"/>
        <v>8.2699999999999516</v>
      </c>
      <c r="B237" s="108">
        <f>A237*SQRT(1-EXP(-2*Sheet1!$M$103*Sheet1!$M$105/A237^2))</f>
        <v>8.1366637512730406</v>
      </c>
    </row>
    <row r="238" spans="1:2">
      <c r="A238" s="19">
        <f t="shared" si="3"/>
        <v>8.2799999999999514</v>
      </c>
      <c r="B238" s="108">
        <f>A238*SQRT(1-EXP(-2*Sheet1!$M$103*Sheet1!$M$105/A238^2))</f>
        <v>8.145379316903826</v>
      </c>
    </row>
    <row r="239" spans="1:2">
      <c r="A239" s="19">
        <f t="shared" si="3"/>
        <v>8.2899999999999512</v>
      </c>
      <c r="B239" s="108">
        <f>A239*SQRT(1-EXP(-2*Sheet1!$M$103*Sheet1!$M$105/A239^2))</f>
        <v>8.1540867471977059</v>
      </c>
    </row>
    <row r="240" spans="1:2">
      <c r="A240" s="19">
        <f t="shared" si="3"/>
        <v>8.299999999999951</v>
      </c>
      <c r="B240" s="108">
        <f>A240*SQRT(1-EXP(-2*Sheet1!$M$103*Sheet1!$M$105/A240^2))</f>
        <v>8.1627860246936876</v>
      </c>
    </row>
    <row r="241" spans="1:2">
      <c r="A241" s="19">
        <f t="shared" si="3"/>
        <v>8.3099999999999508</v>
      </c>
      <c r="B241" s="108">
        <f>A241*SQRT(1-EXP(-2*Sheet1!$M$103*Sheet1!$M$105/A241^2))</f>
        <v>8.1714771320700823</v>
      </c>
    </row>
    <row r="242" spans="1:2">
      <c r="A242" s="19">
        <f t="shared" si="3"/>
        <v>8.3199999999999505</v>
      </c>
      <c r="B242" s="108">
        <f>A242*SQRT(1-EXP(-2*Sheet1!$M$103*Sheet1!$M$105/A242^2))</f>
        <v>8.180160052144517</v>
      </c>
    </row>
    <row r="243" spans="1:2">
      <c r="A243" s="19">
        <f t="shared" si="3"/>
        <v>8.3299999999999503</v>
      </c>
      <c r="B243" s="108">
        <f>A243*SQRT(1-EXP(-2*Sheet1!$M$103*Sheet1!$M$105/A243^2))</f>
        <v>8.1888347678739244</v>
      </c>
    </row>
    <row r="244" spans="1:2">
      <c r="A244" s="19">
        <f t="shared" si="3"/>
        <v>8.3399999999999501</v>
      </c>
      <c r="B244" s="108">
        <f>A244*SQRT(1-EXP(-2*Sheet1!$M$103*Sheet1!$M$105/A244^2))</f>
        <v>8.1975012623545318</v>
      </c>
    </row>
    <row r="245" spans="1:2">
      <c r="A245" s="19">
        <f t="shared" si="3"/>
        <v>8.3499999999999499</v>
      </c>
      <c r="B245" s="108">
        <f>A245*SQRT(1-EXP(-2*Sheet1!$M$103*Sheet1!$M$105/A245^2))</f>
        <v>8.2061595188218384</v>
      </c>
    </row>
    <row r="246" spans="1:2">
      <c r="A246" s="19">
        <f t="shared" si="3"/>
        <v>8.3599999999999497</v>
      </c>
      <c r="B246" s="108">
        <f>A246*SQRT(1-EXP(-2*Sheet1!$M$103*Sheet1!$M$105/A246^2))</f>
        <v>8.2148095206505864</v>
      </c>
    </row>
    <row r="247" spans="1:2">
      <c r="A247" s="19">
        <f t="shared" si="3"/>
        <v>8.3699999999999495</v>
      </c>
      <c r="B247" s="108">
        <f>A247*SQRT(1-EXP(-2*Sheet1!$M$103*Sheet1!$M$105/A247^2))</f>
        <v>8.2234512513547173</v>
      </c>
    </row>
    <row r="248" spans="1:2">
      <c r="A248" s="19">
        <f t="shared" si="3"/>
        <v>8.3799999999999493</v>
      </c>
      <c r="B248" s="108">
        <f>A248*SQRT(1-EXP(-2*Sheet1!$M$103*Sheet1!$M$105/A248^2))</f>
        <v>8.2320846945873356</v>
      </c>
    </row>
    <row r="249" spans="1:2">
      <c r="A249" s="19">
        <f t="shared" si="3"/>
        <v>8.3899999999999491</v>
      </c>
      <c r="B249" s="108">
        <f>A249*SQRT(1-EXP(-2*Sheet1!$M$103*Sheet1!$M$105/A249^2))</f>
        <v>8.24070983414064</v>
      </c>
    </row>
    <row r="250" spans="1:2">
      <c r="A250" s="19">
        <f t="shared" si="3"/>
        <v>8.3999999999999488</v>
      </c>
      <c r="B250" s="108">
        <f>A250*SQRT(1-EXP(-2*Sheet1!$M$103*Sheet1!$M$105/A250^2))</f>
        <v>8.2493266539458663</v>
      </c>
    </row>
    <row r="251" spans="1:2">
      <c r="A251" s="19">
        <f t="shared" si="3"/>
        <v>8.4099999999999486</v>
      </c>
      <c r="B251" s="108">
        <f>A251*SQRT(1-EXP(-2*Sheet1!$M$103*Sheet1!$M$105/A251^2))</f>
        <v>8.2579351380732184</v>
      </c>
    </row>
    <row r="252" spans="1:2">
      <c r="A252" s="19">
        <f t="shared" si="3"/>
        <v>8.4199999999999484</v>
      </c>
      <c r="B252" s="108">
        <f>A252*SQRT(1-EXP(-2*Sheet1!$M$103*Sheet1!$M$105/A252^2))</f>
        <v>8.266535270731783</v>
      </c>
    </row>
    <row r="253" spans="1:2">
      <c r="A253" s="19">
        <f t="shared" si="3"/>
        <v>8.4299999999999482</v>
      </c>
      <c r="B253" s="108">
        <f>A253*SQRT(1-EXP(-2*Sheet1!$M$103*Sheet1!$M$105/A253^2))</f>
        <v>8.2751270362694491</v>
      </c>
    </row>
    <row r="254" spans="1:2">
      <c r="A254" s="19">
        <f t="shared" si="3"/>
        <v>8.439999999999948</v>
      </c>
      <c r="B254" s="108">
        <f>A254*SQRT(1-EXP(-2*Sheet1!$M$103*Sheet1!$M$105/A254^2))</f>
        <v>8.2837104191728024</v>
      </c>
    </row>
    <row r="255" spans="1:2">
      <c r="A255" s="19">
        <f t="shared" si="3"/>
        <v>8.4499999999999478</v>
      </c>
      <c r="B255" s="108">
        <f>A255*SQRT(1-EXP(-2*Sheet1!$M$103*Sheet1!$M$105/A255^2))</f>
        <v>8.2922854040670373</v>
      </c>
    </row>
    <row r="256" spans="1:2">
      <c r="A256" s="19">
        <f t="shared" si="3"/>
        <v>8.4599999999999476</v>
      </c>
      <c r="B256" s="108">
        <f>A256*SQRT(1-EXP(-2*Sheet1!$M$103*Sheet1!$M$105/A256^2))</f>
        <v>8.3008519757158314</v>
      </c>
    </row>
    <row r="257" spans="1:2">
      <c r="A257" s="19">
        <f t="shared" si="3"/>
        <v>8.4699999999999473</v>
      </c>
      <c r="B257" s="108">
        <f>A257*SQRT(1-EXP(-2*Sheet1!$M$103*Sheet1!$M$105/A257^2))</f>
        <v>8.3094101190212388</v>
      </c>
    </row>
    <row r="258" spans="1:2">
      <c r="A258" s="19">
        <f t="shared" si="3"/>
        <v>8.4799999999999471</v>
      </c>
      <c r="B258" s="108">
        <f>A258*SQRT(1-EXP(-2*Sheet1!$M$103*Sheet1!$M$105/A258^2))</f>
        <v>8.3179598190235584</v>
      </c>
    </row>
    <row r="259" spans="1:2">
      <c r="A259" s="19">
        <f t="shared" si="3"/>
        <v>8.4899999999999469</v>
      </c>
      <c r="B259" s="108">
        <f>A259*SQRT(1-EXP(-2*Sheet1!$M$103*Sheet1!$M$105/A259^2))</f>
        <v>8.3265010609012027</v>
      </c>
    </row>
    <row r="260" spans="1:2">
      <c r="A260" s="19">
        <f t="shared" si="3"/>
        <v>8.4999999999999467</v>
      </c>
      <c r="B260" s="108">
        <f>A260*SQRT(1-EXP(-2*Sheet1!$M$103*Sheet1!$M$105/A260^2))</f>
        <v>8.3350338299705626</v>
      </c>
    </row>
    <row r="261" spans="1:2">
      <c r="A261" s="19">
        <f t="shared" si="3"/>
        <v>8.5099999999999465</v>
      </c>
      <c r="B261" s="108">
        <f>A261*SQRT(1-EXP(-2*Sheet1!$M$103*Sheet1!$M$105/A261^2))</f>
        <v>8.343558111685855</v>
      </c>
    </row>
    <row r="262" spans="1:2">
      <c r="A262" s="19">
        <f t="shared" si="3"/>
        <v>8.5199999999999463</v>
      </c>
      <c r="B262" s="108">
        <f>A262*SQRT(1-EXP(-2*Sheet1!$M$103*Sheet1!$M$105/A262^2))</f>
        <v>8.3520738916389679</v>
      </c>
    </row>
    <row r="263" spans="1:2">
      <c r="A263" s="19">
        <f t="shared" si="3"/>
        <v>8.5299999999999461</v>
      </c>
      <c r="B263" s="108">
        <f>A263*SQRT(1-EXP(-2*Sheet1!$M$103*Sheet1!$M$105/A263^2))</f>
        <v>8.3605811555593075</v>
      </c>
    </row>
    <row r="264" spans="1:2">
      <c r="A264" s="19">
        <f t="shared" si="3"/>
        <v>8.5399999999999459</v>
      </c>
      <c r="B264" s="108">
        <f>A264*SQRT(1-EXP(-2*Sheet1!$M$103*Sheet1!$M$105/A264^2))</f>
        <v>8.3690798893136193</v>
      </c>
    </row>
    <row r="265" spans="1:2">
      <c r="A265" s="19">
        <f t="shared" si="3"/>
        <v>8.5499999999999456</v>
      </c>
      <c r="B265" s="108">
        <f>A265*SQRT(1-EXP(-2*Sheet1!$M$103*Sheet1!$M$105/A265^2))</f>
        <v>8.3775700789058298</v>
      </c>
    </row>
    <row r="266" spans="1:2">
      <c r="A266" s="19">
        <f t="shared" si="3"/>
        <v>8.5599999999999454</v>
      </c>
      <c r="B266" s="108">
        <f>A266*SQRT(1-EXP(-2*Sheet1!$M$103*Sheet1!$M$105/A266^2))</f>
        <v>8.3860517104768437</v>
      </c>
    </row>
    <row r="267" spans="1:2">
      <c r="A267" s="19">
        <f t="shared" si="3"/>
        <v>8.5699999999999452</v>
      </c>
      <c r="B267" s="108">
        <f>A267*SQRT(1-EXP(-2*Sheet1!$M$103*Sheet1!$M$105/A267^2))</f>
        <v>8.3945247703043773</v>
      </c>
    </row>
    <row r="268" spans="1:2">
      <c r="A268" s="19">
        <f t="shared" ref="A268:A331" si="4">A267+$B$7</f>
        <v>8.579999999999945</v>
      </c>
      <c r="B268" s="108">
        <f>A268*SQRT(1-EXP(-2*Sheet1!$M$103*Sheet1!$M$105/A268^2))</f>
        <v>8.4029892448027503</v>
      </c>
    </row>
    <row r="269" spans="1:2">
      <c r="A269" s="19">
        <f t="shared" si="4"/>
        <v>8.5899999999999448</v>
      </c>
      <c r="B269" s="108">
        <f>A269*SQRT(1-EXP(-2*Sheet1!$M$103*Sheet1!$M$105/A269^2))</f>
        <v>8.4114451205226892</v>
      </c>
    </row>
    <row r="270" spans="1:2">
      <c r="A270" s="19">
        <f t="shared" si="4"/>
        <v>8.5999999999999446</v>
      </c>
      <c r="B270" s="108">
        <f>A270*SQRT(1-EXP(-2*Sheet1!$M$103*Sheet1!$M$105/A270^2))</f>
        <v>8.4198923841511277</v>
      </c>
    </row>
    <row r="271" spans="1:2">
      <c r="A271" s="19">
        <f t="shared" si="4"/>
        <v>8.6099999999999444</v>
      </c>
      <c r="B271" s="108">
        <f>A271*SQRT(1-EXP(-2*Sheet1!$M$103*Sheet1!$M$105/A271^2))</f>
        <v>8.4283310225109798</v>
      </c>
    </row>
    <row r="272" spans="1:2">
      <c r="A272" s="19">
        <f t="shared" si="4"/>
        <v>8.6199999999999442</v>
      </c>
      <c r="B272" s="108">
        <f>A272*SQRT(1-EXP(-2*Sheet1!$M$103*Sheet1!$M$105/A272^2))</f>
        <v>8.4367610225609315</v>
      </c>
    </row>
    <row r="273" spans="1:2">
      <c r="A273" s="19">
        <f t="shared" si="4"/>
        <v>8.6299999999999439</v>
      </c>
      <c r="B273" s="108">
        <f>A273*SQRT(1-EXP(-2*Sheet1!$M$103*Sheet1!$M$105/A273^2))</f>
        <v>8.4451823713952106</v>
      </c>
    </row>
    <row r="274" spans="1:2">
      <c r="A274" s="19">
        <f t="shared" si="4"/>
        <v>8.6399999999999437</v>
      </c>
      <c r="B274" s="108">
        <f>A274*SQRT(1-EXP(-2*Sheet1!$M$103*Sheet1!$M$105/A274^2))</f>
        <v>8.4535950562433602</v>
      </c>
    </row>
    <row r="275" spans="1:2">
      <c r="A275" s="19">
        <f t="shared" si="4"/>
        <v>8.6499999999999435</v>
      </c>
      <c r="B275" s="108">
        <f>A275*SQRT(1-EXP(-2*Sheet1!$M$103*Sheet1!$M$105/A275^2))</f>
        <v>8.4619990644699925</v>
      </c>
    </row>
    <row r="276" spans="1:2">
      <c r="A276" s="19">
        <f t="shared" si="4"/>
        <v>8.6599999999999433</v>
      </c>
      <c r="B276" s="108">
        <f>A276*SQRT(1-EXP(-2*Sheet1!$M$103*Sheet1!$M$105/A276^2))</f>
        <v>8.4703943835745541</v>
      </c>
    </row>
    <row r="277" spans="1:2">
      <c r="A277" s="19">
        <f t="shared" si="4"/>
        <v>8.6699999999999431</v>
      </c>
      <c r="B277" s="108">
        <f>A277*SQRT(1-EXP(-2*Sheet1!$M$103*Sheet1!$M$105/A277^2))</f>
        <v>8.4787810011910771</v>
      </c>
    </row>
    <row r="278" spans="1:2">
      <c r="A278" s="19">
        <f t="shared" si="4"/>
        <v>8.6799999999999429</v>
      </c>
      <c r="B278" s="108">
        <f>A278*SQRT(1-EXP(-2*Sheet1!$M$103*Sheet1!$M$105/A278^2))</f>
        <v>8.4871589050879184</v>
      </c>
    </row>
    <row r="279" spans="1:2">
      <c r="A279" s="19">
        <f t="shared" si="4"/>
        <v>8.6899999999999427</v>
      </c>
      <c r="B279" s="108">
        <f>A279*SQRT(1-EXP(-2*Sheet1!$M$103*Sheet1!$M$105/A279^2))</f>
        <v>8.4955280831675068</v>
      </c>
    </row>
    <row r="280" spans="1:2">
      <c r="A280" s="19">
        <f t="shared" si="4"/>
        <v>8.6999999999999424</v>
      </c>
      <c r="B280" s="108">
        <f>A280*SQRT(1-EXP(-2*Sheet1!$M$103*Sheet1!$M$105/A280^2))</f>
        <v>8.5038885234660686</v>
      </c>
    </row>
    <row r="281" spans="1:2">
      <c r="A281" s="19">
        <f t="shared" si="4"/>
        <v>8.7099999999999422</v>
      </c>
      <c r="B281" s="108">
        <f>A281*SQRT(1-EXP(-2*Sheet1!$M$103*Sheet1!$M$105/A281^2))</f>
        <v>8.5122402141533744</v>
      </c>
    </row>
    <row r="282" spans="1:2">
      <c r="A282" s="19">
        <f t="shared" si="4"/>
        <v>8.719999999999942</v>
      </c>
      <c r="B282" s="108">
        <f>A282*SQRT(1-EXP(-2*Sheet1!$M$103*Sheet1!$M$105/A282^2))</f>
        <v>8.5205831435324395</v>
      </c>
    </row>
    <row r="283" spans="1:2">
      <c r="A283" s="19">
        <f t="shared" si="4"/>
        <v>8.7299999999999418</v>
      </c>
      <c r="B283" s="108">
        <f>A283*SQRT(1-EXP(-2*Sheet1!$M$103*Sheet1!$M$105/A283^2))</f>
        <v>8.5289173000392609</v>
      </c>
    </row>
    <row r="284" spans="1:2">
      <c r="A284" s="19">
        <f t="shared" si="4"/>
        <v>8.7399999999999416</v>
      </c>
      <c r="B284" s="108">
        <f>A284*SQRT(1-EXP(-2*Sheet1!$M$103*Sheet1!$M$105/A284^2))</f>
        <v>8.5372426722425256</v>
      </c>
    </row>
    <row r="285" spans="1:2">
      <c r="A285" s="19">
        <f t="shared" si="4"/>
        <v>8.7499999999999414</v>
      </c>
      <c r="B285" s="108">
        <f>A285*SQRT(1-EXP(-2*Sheet1!$M$103*Sheet1!$M$105/A285^2))</f>
        <v>8.5455592488433147</v>
      </c>
    </row>
    <row r="286" spans="1:2">
      <c r="A286" s="19">
        <f t="shared" si="4"/>
        <v>8.7599999999999412</v>
      </c>
      <c r="B286" s="108">
        <f>A286*SQRT(1-EXP(-2*Sheet1!$M$103*Sheet1!$M$105/A286^2))</f>
        <v>8.5538670186748114</v>
      </c>
    </row>
    <row r="287" spans="1:2">
      <c r="A287" s="19">
        <f t="shared" si="4"/>
        <v>8.769999999999941</v>
      </c>
      <c r="B287" s="108">
        <f>A287*SQRT(1-EXP(-2*Sheet1!$M$103*Sheet1!$M$105/A287^2))</f>
        <v>8.5621659707020026</v>
      </c>
    </row>
    <row r="288" spans="1:2">
      <c r="A288" s="19">
        <f t="shared" si="4"/>
        <v>8.7799999999999407</v>
      </c>
      <c r="B288" s="108">
        <f>A288*SQRT(1-EXP(-2*Sheet1!$M$103*Sheet1!$M$105/A288^2))</f>
        <v>8.5704560940213668</v>
      </c>
    </row>
    <row r="289" spans="1:2">
      <c r="A289" s="19">
        <f t="shared" si="4"/>
        <v>8.7899999999999405</v>
      </c>
      <c r="B289" s="108">
        <f>A289*SQRT(1-EXP(-2*Sheet1!$M$103*Sheet1!$M$105/A289^2))</f>
        <v>8.5787373778605591</v>
      </c>
    </row>
    <row r="290" spans="1:2">
      <c r="A290" s="19">
        <f t="shared" si="4"/>
        <v>8.7999999999999403</v>
      </c>
      <c r="B290" s="108">
        <f>A290*SQRT(1-EXP(-2*Sheet1!$M$103*Sheet1!$M$105/A290^2))</f>
        <v>8.587009811578115</v>
      </c>
    </row>
    <row r="291" spans="1:2">
      <c r="A291" s="19">
        <f t="shared" si="4"/>
        <v>8.8099999999999401</v>
      </c>
      <c r="B291" s="108">
        <f>A291*SQRT(1-EXP(-2*Sheet1!$M$103*Sheet1!$M$105/A291^2))</f>
        <v>8.5952733846631055</v>
      </c>
    </row>
    <row r="292" spans="1:2">
      <c r="A292" s="19">
        <f t="shared" si="4"/>
        <v>8.8199999999999399</v>
      </c>
      <c r="B292" s="108">
        <f>A292*SQRT(1-EXP(-2*Sheet1!$M$103*Sheet1!$M$105/A292^2))</f>
        <v>8.6035280867348298</v>
      </c>
    </row>
    <row r="293" spans="1:2">
      <c r="A293" s="19">
        <f t="shared" si="4"/>
        <v>8.8299999999999397</v>
      </c>
      <c r="B293" s="108">
        <f>A293*SQRT(1-EXP(-2*Sheet1!$M$103*Sheet1!$M$105/A293^2))</f>
        <v>8.6117739075424797</v>
      </c>
    </row>
    <row r="294" spans="1:2">
      <c r="A294" s="19">
        <f t="shared" si="4"/>
        <v>8.8399999999999395</v>
      </c>
      <c r="B294" s="108">
        <f>A294*SQRT(1-EXP(-2*Sheet1!$M$103*Sheet1!$M$105/A294^2))</f>
        <v>8.6200108369648074</v>
      </c>
    </row>
    <row r="295" spans="1:2">
      <c r="A295" s="19">
        <f t="shared" si="4"/>
        <v>8.8499999999999392</v>
      </c>
      <c r="B295" s="108">
        <f>A295*SQRT(1-EXP(-2*Sheet1!$M$103*Sheet1!$M$105/A295^2))</f>
        <v>8.6282388650097843</v>
      </c>
    </row>
    <row r="296" spans="1:2">
      <c r="A296" s="19">
        <f t="shared" si="4"/>
        <v>8.859999999999939</v>
      </c>
      <c r="B296" s="108">
        <f>A296*SQRT(1-EXP(-2*Sheet1!$M$103*Sheet1!$M$105/A296^2))</f>
        <v>8.6364579818142673</v>
      </c>
    </row>
    <row r="297" spans="1:2">
      <c r="A297" s="19">
        <f t="shared" si="4"/>
        <v>8.8699999999999388</v>
      </c>
      <c r="B297" s="108">
        <f>A297*SQRT(1-EXP(-2*Sheet1!$M$103*Sheet1!$M$105/A297^2))</f>
        <v>8.6446681776436414</v>
      </c>
    </row>
    <row r="298" spans="1:2">
      <c r="A298" s="19">
        <f t="shared" si="4"/>
        <v>8.8799999999999386</v>
      </c>
      <c r="B298" s="108">
        <f>A298*SQRT(1-EXP(-2*Sheet1!$M$103*Sheet1!$M$105/A298^2))</f>
        <v>8.6528694428914825</v>
      </c>
    </row>
    <row r="299" spans="1:2">
      <c r="A299" s="19">
        <f t="shared" si="4"/>
        <v>8.8899999999999384</v>
      </c>
      <c r="B299" s="108">
        <f>A299*SQRT(1-EXP(-2*Sheet1!$M$103*Sheet1!$M$105/A299^2))</f>
        <v>8.6610617680791897</v>
      </c>
    </row>
    <row r="300" spans="1:2">
      <c r="A300" s="19">
        <f t="shared" si="4"/>
        <v>8.8999999999999382</v>
      </c>
      <c r="B300" s="108">
        <f>A300*SQRT(1-EXP(-2*Sheet1!$M$103*Sheet1!$M$105/A300^2))</f>
        <v>8.6692451438556386</v>
      </c>
    </row>
    <row r="301" spans="1:2">
      <c r="A301" s="19">
        <f t="shared" si="4"/>
        <v>8.909999999999938</v>
      </c>
      <c r="B301" s="108">
        <f>A301*SQRT(1-EXP(-2*Sheet1!$M$103*Sheet1!$M$105/A301^2))</f>
        <v>8.6774195609968121</v>
      </c>
    </row>
    <row r="302" spans="1:2">
      <c r="A302" s="19">
        <f t="shared" si="4"/>
        <v>8.9199999999999378</v>
      </c>
      <c r="B302" s="108">
        <f>A302*SQRT(1-EXP(-2*Sheet1!$M$103*Sheet1!$M$105/A302^2))</f>
        <v>8.685585010405438</v>
      </c>
    </row>
    <row r="303" spans="1:2">
      <c r="A303" s="19">
        <f t="shared" si="4"/>
        <v>8.9299999999999375</v>
      </c>
      <c r="B303" s="108">
        <f>A303*SQRT(1-EXP(-2*Sheet1!$M$103*Sheet1!$M$105/A303^2))</f>
        <v>8.693741483110621</v>
      </c>
    </row>
    <row r="304" spans="1:2">
      <c r="A304" s="19">
        <f t="shared" si="4"/>
        <v>8.9399999999999373</v>
      </c>
      <c r="B304" s="108">
        <f>A304*SQRT(1-EXP(-2*Sheet1!$M$103*Sheet1!$M$105/A304^2))</f>
        <v>8.7018889702674631</v>
      </c>
    </row>
    <row r="305" spans="1:2">
      <c r="A305" s="19">
        <f t="shared" si="4"/>
        <v>8.9499999999999371</v>
      </c>
      <c r="B305" s="108">
        <f>A305*SQRT(1-EXP(-2*Sheet1!$M$103*Sheet1!$M$105/A305^2))</f>
        <v>8.7100274631566972</v>
      </c>
    </row>
    <row r="306" spans="1:2">
      <c r="A306" s="19">
        <f t="shared" si="4"/>
        <v>8.9599999999999369</v>
      </c>
      <c r="B306" s="108">
        <f>A306*SQRT(1-EXP(-2*Sheet1!$M$103*Sheet1!$M$105/A306^2))</f>
        <v>8.7181569531842928</v>
      </c>
    </row>
    <row r="307" spans="1:2">
      <c r="A307" s="19">
        <f t="shared" si="4"/>
        <v>8.9699999999999367</v>
      </c>
      <c r="B307" s="108">
        <f>A307*SQRT(1-EXP(-2*Sheet1!$M$103*Sheet1!$M$105/A307^2))</f>
        <v>8.7262774318810905</v>
      </c>
    </row>
    <row r="308" spans="1:2">
      <c r="A308" s="19">
        <f t="shared" si="4"/>
        <v>8.9799999999999365</v>
      </c>
      <c r="B308" s="108">
        <f>A308*SQRT(1-EXP(-2*Sheet1!$M$103*Sheet1!$M$105/A308^2))</f>
        <v>8.7343888909023981</v>
      </c>
    </row>
    <row r="309" spans="1:2">
      <c r="A309" s="19">
        <f t="shared" si="4"/>
        <v>8.9899999999999363</v>
      </c>
      <c r="B309" s="108">
        <f>A309*SQRT(1-EXP(-2*Sheet1!$M$103*Sheet1!$M$105/A309^2))</f>
        <v>8.7424913220276128</v>
      </c>
    </row>
    <row r="310" spans="1:2">
      <c r="A310" s="19">
        <f t="shared" si="4"/>
        <v>8.9999999999999361</v>
      </c>
      <c r="B310" s="108">
        <f>A310*SQRT(1-EXP(-2*Sheet1!$M$103*Sheet1!$M$105/A310^2))</f>
        <v>8.7505847171598194</v>
      </c>
    </row>
    <row r="311" spans="1:2">
      <c r="A311" s="19">
        <f t="shared" si="4"/>
        <v>9.0099999999999358</v>
      </c>
      <c r="B311" s="108">
        <f>A311*SQRT(1-EXP(-2*Sheet1!$M$103*Sheet1!$M$105/A311^2))</f>
        <v>8.7586690683253998</v>
      </c>
    </row>
    <row r="312" spans="1:2">
      <c r="A312" s="19">
        <f t="shared" si="4"/>
        <v>9.0199999999999356</v>
      </c>
      <c r="B312" s="108">
        <f>A312*SQRT(1-EXP(-2*Sheet1!$M$103*Sheet1!$M$105/A312^2))</f>
        <v>8.7667443676736294</v>
      </c>
    </row>
    <row r="313" spans="1:2">
      <c r="A313" s="19">
        <f t="shared" si="4"/>
        <v>9.0299999999999354</v>
      </c>
      <c r="B313" s="108">
        <f>A313*SQRT(1-EXP(-2*Sheet1!$M$103*Sheet1!$M$105/A313^2))</f>
        <v>8.7748106074762759</v>
      </c>
    </row>
    <row r="314" spans="1:2">
      <c r="A314" s="19">
        <f t="shared" si="4"/>
        <v>9.0399999999999352</v>
      </c>
      <c r="B314" s="108">
        <f>A314*SQRT(1-EXP(-2*Sheet1!$M$103*Sheet1!$M$105/A314^2))</f>
        <v>8.7828677801271908</v>
      </c>
    </row>
    <row r="315" spans="1:2">
      <c r="A315" s="19">
        <f t="shared" si="4"/>
        <v>9.049999999999935</v>
      </c>
      <c r="B315" s="108">
        <f>A315*SQRT(1-EXP(-2*Sheet1!$M$103*Sheet1!$M$105/A315^2))</f>
        <v>8.7909158781419059</v>
      </c>
    </row>
    <row r="316" spans="1:2">
      <c r="A316" s="19">
        <f t="shared" si="4"/>
        <v>9.0599999999999348</v>
      </c>
      <c r="B316" s="108">
        <f>A316*SQRT(1-EXP(-2*Sheet1!$M$103*Sheet1!$M$105/A316^2))</f>
        <v>8.7989548941572231</v>
      </c>
    </row>
    <row r="317" spans="1:2">
      <c r="A317" s="19">
        <f t="shared" si="4"/>
        <v>9.0699999999999346</v>
      </c>
      <c r="B317" s="108">
        <f>A317*SQRT(1-EXP(-2*Sheet1!$M$103*Sheet1!$M$105/A317^2))</f>
        <v>8.8069848209307899</v>
      </c>
    </row>
    <row r="318" spans="1:2">
      <c r="A318" s="19">
        <f t="shared" si="4"/>
        <v>9.0799999999999343</v>
      </c>
      <c r="B318" s="108">
        <f>A318*SQRT(1-EXP(-2*Sheet1!$M$103*Sheet1!$M$105/A318^2))</f>
        <v>8.8150056513406909</v>
      </c>
    </row>
    <row r="319" spans="1:2">
      <c r="A319" s="19">
        <f t="shared" si="4"/>
        <v>9.0899999999999341</v>
      </c>
      <c r="B319" s="108">
        <f>A319*SQRT(1-EXP(-2*Sheet1!$M$103*Sheet1!$M$105/A319^2))</f>
        <v>8.8230173783850301</v>
      </c>
    </row>
    <row r="320" spans="1:2">
      <c r="A320" s="19">
        <f t="shared" si="4"/>
        <v>9.0999999999999339</v>
      </c>
      <c r="B320" s="108">
        <f>A320*SQRT(1-EXP(-2*Sheet1!$M$103*Sheet1!$M$105/A320^2))</f>
        <v>8.8310199951815029</v>
      </c>
    </row>
    <row r="321" spans="1:2">
      <c r="A321" s="19">
        <f t="shared" si="4"/>
        <v>9.1099999999999337</v>
      </c>
      <c r="B321" s="108">
        <f>A321*SQRT(1-EXP(-2*Sheet1!$M$103*Sheet1!$M$105/A321^2))</f>
        <v>8.8390134949669701</v>
      </c>
    </row>
    <row r="322" spans="1:2">
      <c r="A322" s="19">
        <f t="shared" si="4"/>
        <v>9.1199999999999335</v>
      </c>
      <c r="B322" s="108">
        <f>A322*SQRT(1-EXP(-2*Sheet1!$M$103*Sheet1!$M$105/A322^2))</f>
        <v>8.8469978710970416</v>
      </c>
    </row>
    <row r="323" spans="1:2">
      <c r="A323" s="19">
        <f t="shared" si="4"/>
        <v>9.1299999999999333</v>
      </c>
      <c r="B323" s="108">
        <f>A323*SQRT(1-EXP(-2*Sheet1!$M$103*Sheet1!$M$105/A323^2))</f>
        <v>8.8549731170456347</v>
      </c>
    </row>
    <row r="324" spans="1:2">
      <c r="A324" s="19">
        <f t="shared" si="4"/>
        <v>9.1399999999999331</v>
      </c>
      <c r="B324" s="108">
        <f>A324*SQRT(1-EXP(-2*Sheet1!$M$103*Sheet1!$M$105/A324^2))</f>
        <v>8.8629392264045475</v>
      </c>
    </row>
    <row r="325" spans="1:2">
      <c r="A325" s="19">
        <f t="shared" si="4"/>
        <v>9.1499999999999329</v>
      </c>
      <c r="B325" s="108">
        <f>A325*SQRT(1-EXP(-2*Sheet1!$M$103*Sheet1!$M$105/A325^2))</f>
        <v>8.8708961928830288</v>
      </c>
    </row>
    <row r="326" spans="1:2">
      <c r="A326" s="19">
        <f t="shared" si="4"/>
        <v>9.1599999999999326</v>
      </c>
      <c r="B326" s="108">
        <f>A326*SQRT(1-EXP(-2*Sheet1!$M$103*Sheet1!$M$105/A326^2))</f>
        <v>8.8788440103073274</v>
      </c>
    </row>
    <row r="327" spans="1:2">
      <c r="A327" s="19">
        <f t="shared" si="4"/>
        <v>9.1699999999999324</v>
      </c>
      <c r="B327" s="108">
        <f>A327*SQRT(1-EXP(-2*Sheet1!$M$103*Sheet1!$M$105/A327^2))</f>
        <v>8.8867826726202743</v>
      </c>
    </row>
    <row r="328" spans="1:2">
      <c r="A328" s="19">
        <f t="shared" si="4"/>
        <v>9.1799999999999322</v>
      </c>
      <c r="B328" s="108">
        <f>A328*SQRT(1-EXP(-2*Sheet1!$M$103*Sheet1!$M$105/A328^2))</f>
        <v>8.8947121738808246</v>
      </c>
    </row>
    <row r="329" spans="1:2">
      <c r="A329" s="19">
        <f t="shared" si="4"/>
        <v>9.189999999999932</v>
      </c>
      <c r="B329" s="108">
        <f>A329*SQRT(1-EXP(-2*Sheet1!$M$103*Sheet1!$M$105/A329^2))</f>
        <v>8.902632508263622</v>
      </c>
    </row>
    <row r="330" spans="1:2">
      <c r="A330" s="19">
        <f t="shared" si="4"/>
        <v>9.1999999999999318</v>
      </c>
      <c r="B330" s="108">
        <f>A330*SQRT(1-EXP(-2*Sheet1!$M$103*Sheet1!$M$105/A330^2))</f>
        <v>8.9105436700585567</v>
      </c>
    </row>
    <row r="331" spans="1:2">
      <c r="A331" s="19">
        <f t="shared" si="4"/>
        <v>9.2099999999999316</v>
      </c>
      <c r="B331" s="108">
        <f>A331*SQRT(1-EXP(-2*Sheet1!$M$103*Sheet1!$M$105/A331^2))</f>
        <v>8.9184456536703092</v>
      </c>
    </row>
    <row r="332" spans="1:2">
      <c r="A332" s="19">
        <f t="shared" ref="A332:A395" si="5">A331+$B$7</f>
        <v>9.2199999999999314</v>
      </c>
      <c r="B332" s="108">
        <f>A332*SQRT(1-EXP(-2*Sheet1!$M$103*Sheet1!$M$105/A332^2))</f>
        <v>8.9263384536179124</v>
      </c>
    </row>
    <row r="333" spans="1:2">
      <c r="A333" s="19">
        <f t="shared" si="5"/>
        <v>9.2299999999999311</v>
      </c>
      <c r="B333" s="108">
        <f>A333*SQRT(1-EXP(-2*Sheet1!$M$103*Sheet1!$M$105/A333^2))</f>
        <v>8.9342220645342909</v>
      </c>
    </row>
    <row r="334" spans="1:2">
      <c r="A334" s="19">
        <f t="shared" si="5"/>
        <v>9.2399999999999309</v>
      </c>
      <c r="B334" s="108">
        <f>A334*SQRT(1-EXP(-2*Sheet1!$M$103*Sheet1!$M$105/A334^2))</f>
        <v>8.9420964811658212</v>
      </c>
    </row>
    <row r="335" spans="1:2">
      <c r="A335" s="19">
        <f t="shared" si="5"/>
        <v>9.2499999999999307</v>
      </c>
      <c r="B335" s="108">
        <f>A335*SQRT(1-EXP(-2*Sheet1!$M$103*Sheet1!$M$105/A335^2))</f>
        <v>8.9499616983718653</v>
      </c>
    </row>
    <row r="336" spans="1:2">
      <c r="A336" s="19">
        <f t="shared" si="5"/>
        <v>9.2599999999999305</v>
      </c>
      <c r="B336" s="108">
        <f>A336*SQRT(1-EXP(-2*Sheet1!$M$103*Sheet1!$M$105/A336^2))</f>
        <v>8.9578177111243207</v>
      </c>
    </row>
    <row r="337" spans="1:2">
      <c r="A337" s="19">
        <f t="shared" si="5"/>
        <v>9.2699999999999303</v>
      </c>
      <c r="B337" s="108">
        <f>A337*SQRT(1-EXP(-2*Sheet1!$M$103*Sheet1!$M$105/A337^2))</f>
        <v>8.9656645145071625</v>
      </c>
    </row>
    <row r="338" spans="1:2">
      <c r="A338" s="19">
        <f t="shared" si="5"/>
        <v>9.2799999999999301</v>
      </c>
      <c r="B338" s="108">
        <f>A338*SQRT(1-EXP(-2*Sheet1!$M$103*Sheet1!$M$105/A338^2))</f>
        <v>8.973502103715985</v>
      </c>
    </row>
    <row r="339" spans="1:2">
      <c r="A339" s="19">
        <f t="shared" si="5"/>
        <v>9.2899999999999299</v>
      </c>
      <c r="B339" s="108">
        <f>A339*SQRT(1-EXP(-2*Sheet1!$M$103*Sheet1!$M$105/A339^2))</f>
        <v>8.9813304740575415</v>
      </c>
    </row>
    <row r="340" spans="1:2">
      <c r="A340" s="19">
        <f t="shared" si="5"/>
        <v>9.2999999999999297</v>
      </c>
      <c r="B340" s="108">
        <f>A340*SQRT(1-EXP(-2*Sheet1!$M$103*Sheet1!$M$105/A340^2))</f>
        <v>8.9891496209492789</v>
      </c>
    </row>
    <row r="341" spans="1:2">
      <c r="A341" s="19">
        <f t="shared" si="5"/>
        <v>9.3099999999999294</v>
      </c>
      <c r="B341" s="108">
        <f>A341*SQRT(1-EXP(-2*Sheet1!$M$103*Sheet1!$M$105/A341^2))</f>
        <v>8.9969595399188798</v>
      </c>
    </row>
    <row r="342" spans="1:2">
      <c r="A342" s="19">
        <f t="shared" si="5"/>
        <v>9.3199999999999292</v>
      </c>
      <c r="B342" s="108">
        <f>A342*SQRT(1-EXP(-2*Sheet1!$M$103*Sheet1!$M$105/A342^2))</f>
        <v>9.0047602266037909</v>
      </c>
    </row>
    <row r="343" spans="1:2">
      <c r="A343" s="19">
        <f t="shared" si="5"/>
        <v>9.329999999999929</v>
      </c>
      <c r="B343" s="108">
        <f>A343*SQRT(1-EXP(-2*Sheet1!$M$103*Sheet1!$M$105/A343^2))</f>
        <v>9.0125516767507658</v>
      </c>
    </row>
    <row r="344" spans="1:2">
      <c r="A344" s="19">
        <f t="shared" si="5"/>
        <v>9.3399999999999288</v>
      </c>
      <c r="B344" s="108">
        <f>A344*SQRT(1-EXP(-2*Sheet1!$M$103*Sheet1!$M$105/A344^2))</f>
        <v>9.0203338862153846</v>
      </c>
    </row>
    <row r="345" spans="1:2">
      <c r="A345" s="19">
        <f t="shared" si="5"/>
        <v>9.3499999999999286</v>
      </c>
      <c r="B345" s="108">
        <f>A345*SQRT(1-EXP(-2*Sheet1!$M$103*Sheet1!$M$105/A345^2))</f>
        <v>9.0281068509616027</v>
      </c>
    </row>
    <row r="346" spans="1:2">
      <c r="A346" s="19">
        <f t="shared" si="5"/>
        <v>9.3599999999999284</v>
      </c>
      <c r="B346" s="108">
        <f>A346*SQRT(1-EXP(-2*Sheet1!$M$103*Sheet1!$M$105/A346^2))</f>
        <v>9.0358705670612611</v>
      </c>
    </row>
    <row r="347" spans="1:2">
      <c r="A347" s="19">
        <f t="shared" si="5"/>
        <v>9.3699999999999282</v>
      </c>
      <c r="B347" s="108">
        <f>A347*SQRT(1-EXP(-2*Sheet1!$M$103*Sheet1!$M$105/A347^2))</f>
        <v>9.0436250306936365</v>
      </c>
    </row>
    <row r="348" spans="1:2">
      <c r="A348" s="19">
        <f t="shared" si="5"/>
        <v>9.379999999999928</v>
      </c>
      <c r="B348" s="108">
        <f>A348*SQRT(1-EXP(-2*Sheet1!$M$103*Sheet1!$M$105/A348^2))</f>
        <v>9.0513702381449477</v>
      </c>
    </row>
    <row r="349" spans="1:2">
      <c r="A349" s="19">
        <f t="shared" si="5"/>
        <v>9.3899999999999277</v>
      </c>
      <c r="B349" s="108">
        <f>A349*SQRT(1-EXP(-2*Sheet1!$M$103*Sheet1!$M$105/A349^2))</f>
        <v>9.0591061858078987</v>
      </c>
    </row>
    <row r="350" spans="1:2">
      <c r="A350" s="19">
        <f t="shared" si="5"/>
        <v>9.3999999999999275</v>
      </c>
      <c r="B350" s="108">
        <f>A350*SQRT(1-EXP(-2*Sheet1!$M$103*Sheet1!$M$105/A350^2))</f>
        <v>9.066832870181198</v>
      </c>
    </row>
    <row r="351" spans="1:2">
      <c r="A351" s="19">
        <f t="shared" si="5"/>
        <v>9.4099999999999273</v>
      </c>
      <c r="B351" s="108">
        <f>A351*SQRT(1-EXP(-2*Sheet1!$M$103*Sheet1!$M$105/A351^2))</f>
        <v>9.0745502878690854</v>
      </c>
    </row>
    <row r="352" spans="1:2">
      <c r="A352" s="19">
        <f t="shared" si="5"/>
        <v>9.4199999999999271</v>
      </c>
      <c r="B352" s="108">
        <f>A352*SQRT(1-EXP(-2*Sheet1!$M$103*Sheet1!$M$105/A352^2))</f>
        <v>9.0822584355808509</v>
      </c>
    </row>
    <row r="353" spans="1:2">
      <c r="A353" s="19">
        <f t="shared" si="5"/>
        <v>9.4299999999999269</v>
      </c>
      <c r="B353" s="108">
        <f>A353*SQRT(1-EXP(-2*Sheet1!$M$103*Sheet1!$M$105/A353^2))</f>
        <v>9.0899573101303623</v>
      </c>
    </row>
    <row r="354" spans="1:2">
      <c r="A354" s="19">
        <f t="shared" si="5"/>
        <v>9.4399999999999267</v>
      </c>
      <c r="B354" s="108">
        <f>A354*SQRT(1-EXP(-2*Sheet1!$M$103*Sheet1!$M$105/A354^2))</f>
        <v>9.0976469084355909</v>
      </c>
    </row>
    <row r="355" spans="1:2">
      <c r="A355" s="19">
        <f t="shared" si="5"/>
        <v>9.4499999999999265</v>
      </c>
      <c r="B355" s="108">
        <f>A355*SQRT(1-EXP(-2*Sheet1!$M$103*Sheet1!$M$105/A355^2))</f>
        <v>9.1053272275181225</v>
      </c>
    </row>
    <row r="356" spans="1:2">
      <c r="A356" s="19">
        <f t="shared" si="5"/>
        <v>9.4599999999999262</v>
      </c>
      <c r="B356" s="108">
        <f>A356*SQRT(1-EXP(-2*Sheet1!$M$103*Sheet1!$M$105/A356^2))</f>
        <v>9.112998264502691</v>
      </c>
    </row>
    <row r="357" spans="1:2">
      <c r="A357" s="19">
        <f t="shared" si="5"/>
        <v>9.469999999999926</v>
      </c>
      <c r="B357" s="108">
        <f>A357*SQRT(1-EXP(-2*Sheet1!$M$103*Sheet1!$M$105/A357^2))</f>
        <v>9.120660016616684</v>
      </c>
    </row>
    <row r="358" spans="1:2">
      <c r="A358" s="19">
        <f t="shared" si="5"/>
        <v>9.4799999999999258</v>
      </c>
      <c r="B358" s="108">
        <f>A358*SQRT(1-EXP(-2*Sheet1!$M$103*Sheet1!$M$105/A358^2))</f>
        <v>9.1283124811896723</v>
      </c>
    </row>
    <row r="359" spans="1:2">
      <c r="A359" s="19">
        <f t="shared" si="5"/>
        <v>9.4899999999999256</v>
      </c>
      <c r="B359" s="108">
        <f>A359*SQRT(1-EXP(-2*Sheet1!$M$103*Sheet1!$M$105/A359^2))</f>
        <v>9.1359556556529267</v>
      </c>
    </row>
    <row r="360" spans="1:2">
      <c r="A360" s="19">
        <f t="shared" si="5"/>
        <v>9.4999999999999254</v>
      </c>
      <c r="B360" s="108">
        <f>A360*SQRT(1-EXP(-2*Sheet1!$M$103*Sheet1!$M$105/A360^2))</f>
        <v>9.1435895375389347</v>
      </c>
    </row>
    <row r="361" spans="1:2">
      <c r="A361" s="19">
        <f t="shared" si="5"/>
        <v>9.5099999999999252</v>
      </c>
      <c r="B361" s="108">
        <f>A361*SQRT(1-EXP(-2*Sheet1!$M$103*Sheet1!$M$105/A361^2))</f>
        <v>9.1512141244809158</v>
      </c>
    </row>
    <row r="362" spans="1:2">
      <c r="A362" s="19">
        <f t="shared" si="5"/>
        <v>9.519999999999925</v>
      </c>
      <c r="B362" s="108">
        <f>A362*SQRT(1-EXP(-2*Sheet1!$M$103*Sheet1!$M$105/A362^2))</f>
        <v>9.1588294142123452</v>
      </c>
    </row>
    <row r="363" spans="1:2">
      <c r="A363" s="19">
        <f t="shared" si="5"/>
        <v>9.5299999999999248</v>
      </c>
      <c r="B363" s="108">
        <f>A363*SQRT(1-EXP(-2*Sheet1!$M$103*Sheet1!$M$105/A363^2))</f>
        <v>9.166435404566462</v>
      </c>
    </row>
    <row r="364" spans="1:2">
      <c r="A364" s="19">
        <f t="shared" si="5"/>
        <v>9.5399999999999245</v>
      </c>
      <c r="B364" s="108">
        <f>A364*SQRT(1-EXP(-2*Sheet1!$M$103*Sheet1!$M$105/A364^2))</f>
        <v>9.1740320934757911</v>
      </c>
    </row>
    <row r="365" spans="1:2">
      <c r="A365" s="19">
        <f t="shared" si="5"/>
        <v>9.5499999999999243</v>
      </c>
      <c r="B365" s="108">
        <f>A365*SQRT(1-EXP(-2*Sheet1!$M$103*Sheet1!$M$105/A365^2))</f>
        <v>9.1816194789716548</v>
      </c>
    </row>
    <row r="366" spans="1:2">
      <c r="A366" s="19">
        <f t="shared" si="5"/>
        <v>9.5599999999999241</v>
      </c>
      <c r="B366" s="108">
        <f>A366*SQRT(1-EXP(-2*Sheet1!$M$103*Sheet1!$M$105/A366^2))</f>
        <v>9.1891975591836914</v>
      </c>
    </row>
    <row r="367" spans="1:2">
      <c r="A367" s="19">
        <f t="shared" si="5"/>
        <v>9.5699999999999239</v>
      </c>
      <c r="B367" s="108">
        <f>A367*SQRT(1-EXP(-2*Sheet1!$M$103*Sheet1!$M$105/A367^2))</f>
        <v>9.1967663323393687</v>
      </c>
    </row>
    <row r="368" spans="1:2">
      <c r="A368" s="19">
        <f t="shared" si="5"/>
        <v>9.5799999999999237</v>
      </c>
      <c r="B368" s="108">
        <f>A368*SQRT(1-EXP(-2*Sheet1!$M$103*Sheet1!$M$105/A368^2))</f>
        <v>9.2043257967634986</v>
      </c>
    </row>
    <row r="369" spans="1:2">
      <c r="A369" s="19">
        <f t="shared" si="5"/>
        <v>9.5899999999999235</v>
      </c>
      <c r="B369" s="108">
        <f>A369*SQRT(1-EXP(-2*Sheet1!$M$103*Sheet1!$M$105/A369^2))</f>
        <v>9.2118759508777526</v>
      </c>
    </row>
    <row r="370" spans="1:2">
      <c r="A370" s="19">
        <f t="shared" si="5"/>
        <v>9.5999999999999233</v>
      </c>
      <c r="B370" s="108">
        <f>A370*SQRT(1-EXP(-2*Sheet1!$M$103*Sheet1!$M$105/A370^2))</f>
        <v>9.2194167932001712</v>
      </c>
    </row>
    <row r="371" spans="1:2">
      <c r="A371" s="19">
        <f t="shared" si="5"/>
        <v>9.609999999999923</v>
      </c>
      <c r="B371" s="108">
        <f>A371*SQRT(1-EXP(-2*Sheet1!$M$103*Sheet1!$M$105/A371^2))</f>
        <v>9.226948322344688</v>
      </c>
    </row>
    <row r="372" spans="1:2">
      <c r="A372" s="19">
        <f t="shared" si="5"/>
        <v>9.6199999999999228</v>
      </c>
      <c r="B372" s="108">
        <f>A372*SQRT(1-EXP(-2*Sheet1!$M$103*Sheet1!$M$105/A372^2))</f>
        <v>9.2344705370206288</v>
      </c>
    </row>
    <row r="373" spans="1:2">
      <c r="A373" s="19">
        <f t="shared" si="5"/>
        <v>9.6299999999999226</v>
      </c>
      <c r="B373" s="108">
        <f>A373*SQRT(1-EXP(-2*Sheet1!$M$103*Sheet1!$M$105/A373^2))</f>
        <v>9.2419834360322426</v>
      </c>
    </row>
    <row r="374" spans="1:2">
      <c r="A374" s="19">
        <f t="shared" si="5"/>
        <v>9.6399999999999224</v>
      </c>
      <c r="B374" s="108">
        <f>A374*SQRT(1-EXP(-2*Sheet1!$M$103*Sheet1!$M$105/A374^2))</f>
        <v>9.2494870182782005</v>
      </c>
    </row>
    <row r="375" spans="1:2">
      <c r="A375" s="19">
        <f t="shared" si="5"/>
        <v>9.6499999999999222</v>
      </c>
      <c r="B375" s="108">
        <f>A375*SQRT(1-EXP(-2*Sheet1!$M$103*Sheet1!$M$105/A375^2))</f>
        <v>9.2569812827511111</v>
      </c>
    </row>
    <row r="376" spans="1:2">
      <c r="A376" s="19">
        <f t="shared" si="5"/>
        <v>9.659999999999922</v>
      </c>
      <c r="B376" s="108">
        <f>A376*SQRT(1-EXP(-2*Sheet1!$M$103*Sheet1!$M$105/A376^2))</f>
        <v>9.2644662285370494</v>
      </c>
    </row>
    <row r="377" spans="1:2">
      <c r="A377" s="19">
        <f t="shared" si="5"/>
        <v>9.6699999999999218</v>
      </c>
      <c r="B377" s="108">
        <f>A377*SQRT(1-EXP(-2*Sheet1!$M$103*Sheet1!$M$105/A377^2))</f>
        <v>9.2719418548150507</v>
      </c>
    </row>
    <row r="378" spans="1:2">
      <c r="A378" s="19">
        <f t="shared" si="5"/>
        <v>9.6799999999999216</v>
      </c>
      <c r="B378" s="108">
        <f>A378*SQRT(1-EXP(-2*Sheet1!$M$103*Sheet1!$M$105/A378^2))</f>
        <v>9.2794081608566295</v>
      </c>
    </row>
    <row r="379" spans="1:2">
      <c r="A379" s="19">
        <f t="shared" si="5"/>
        <v>9.6899999999999213</v>
      </c>
      <c r="B379" s="108">
        <f>A379*SQRT(1-EXP(-2*Sheet1!$M$103*Sheet1!$M$105/A379^2))</f>
        <v>9.2868651460253044</v>
      </c>
    </row>
    <row r="380" spans="1:2">
      <c r="A380" s="19">
        <f t="shared" si="5"/>
        <v>9.6999999999999211</v>
      </c>
      <c r="B380" s="108">
        <f>A380*SQRT(1-EXP(-2*Sheet1!$M$103*Sheet1!$M$105/A380^2))</f>
        <v>9.2943128097760983</v>
      </c>
    </row>
    <row r="381" spans="1:2">
      <c r="A381" s="19">
        <f t="shared" si="5"/>
        <v>9.7099999999999209</v>
      </c>
      <c r="B381" s="108">
        <f>A381*SQRT(1-EXP(-2*Sheet1!$M$103*Sheet1!$M$105/A381^2))</f>
        <v>9.3017511516550559</v>
      </c>
    </row>
    <row r="382" spans="1:2">
      <c r="A382" s="19">
        <f t="shared" si="5"/>
        <v>9.7199999999999207</v>
      </c>
      <c r="B382" s="108">
        <f>A382*SQRT(1-EXP(-2*Sheet1!$M$103*Sheet1!$M$105/A382^2))</f>
        <v>9.309180171298765</v>
      </c>
    </row>
    <row r="383" spans="1:2">
      <c r="A383" s="19">
        <f t="shared" si="5"/>
        <v>9.7299999999999205</v>
      </c>
      <c r="B383" s="108">
        <f>A383*SQRT(1-EXP(-2*Sheet1!$M$103*Sheet1!$M$105/A383^2))</f>
        <v>9.3165998684338582</v>
      </c>
    </row>
    <row r="384" spans="1:2">
      <c r="A384" s="19">
        <f t="shared" si="5"/>
        <v>9.7399999999999203</v>
      </c>
      <c r="B384" s="108">
        <f>A384*SQRT(1-EXP(-2*Sheet1!$M$103*Sheet1!$M$105/A384^2))</f>
        <v>9.3240102428765379</v>
      </c>
    </row>
    <row r="385" spans="1:2">
      <c r="A385" s="19">
        <f t="shared" si="5"/>
        <v>9.7499999999999201</v>
      </c>
      <c r="B385" s="108">
        <f>A385*SQRT(1-EXP(-2*Sheet1!$M$103*Sheet1!$M$105/A385^2))</f>
        <v>9.3314112945320886</v>
      </c>
    </row>
    <row r="386" spans="1:2">
      <c r="A386" s="19">
        <f t="shared" si="5"/>
        <v>9.7599999999999199</v>
      </c>
      <c r="B386" s="108">
        <f>A386*SQRT(1-EXP(-2*Sheet1!$M$103*Sheet1!$M$105/A386^2))</f>
        <v>9.3388030233943873</v>
      </c>
    </row>
    <row r="387" spans="1:2">
      <c r="A387" s="19">
        <f t="shared" si="5"/>
        <v>9.7699999999999196</v>
      </c>
      <c r="B387" s="108">
        <f>A387*SQRT(1-EXP(-2*Sheet1!$M$103*Sheet1!$M$105/A387^2))</f>
        <v>9.3461854295454234</v>
      </c>
    </row>
    <row r="388" spans="1:2">
      <c r="A388" s="19">
        <f t="shared" si="5"/>
        <v>9.7799999999999194</v>
      </c>
      <c r="B388" s="108">
        <f>A388*SQRT(1-EXP(-2*Sheet1!$M$103*Sheet1!$M$105/A388^2))</f>
        <v>9.3535585131548107</v>
      </c>
    </row>
    <row r="389" spans="1:2">
      <c r="A389" s="19">
        <f t="shared" si="5"/>
        <v>9.7899999999999192</v>
      </c>
      <c r="B389" s="108">
        <f>A389*SQRT(1-EXP(-2*Sheet1!$M$103*Sheet1!$M$105/A389^2))</f>
        <v>9.3609222744793126</v>
      </c>
    </row>
    <row r="390" spans="1:2">
      <c r="A390" s="19">
        <f t="shared" si="5"/>
        <v>9.799999999999919</v>
      </c>
      <c r="B390" s="108">
        <f>A390*SQRT(1-EXP(-2*Sheet1!$M$103*Sheet1!$M$105/A390^2))</f>
        <v>9.3682767138623433</v>
      </c>
    </row>
    <row r="391" spans="1:2">
      <c r="A391" s="19">
        <f t="shared" si="5"/>
        <v>9.8099999999999188</v>
      </c>
      <c r="B391" s="108">
        <f>A391*SQRT(1-EXP(-2*Sheet1!$M$103*Sheet1!$M$105/A391^2))</f>
        <v>9.3756218317334969</v>
      </c>
    </row>
    <row r="392" spans="1:2">
      <c r="A392" s="19">
        <f t="shared" si="5"/>
        <v>9.8199999999999186</v>
      </c>
      <c r="B392" s="108">
        <f>A392*SQRT(1-EXP(-2*Sheet1!$M$103*Sheet1!$M$105/A392^2))</f>
        <v>9.3829576286080592</v>
      </c>
    </row>
    <row r="393" spans="1:2">
      <c r="A393" s="19">
        <f t="shared" si="5"/>
        <v>9.8299999999999184</v>
      </c>
      <c r="B393" s="108">
        <f>A393*SQRT(1-EXP(-2*Sheet1!$M$103*Sheet1!$M$105/A393^2))</f>
        <v>9.3902841050865309</v>
      </c>
    </row>
    <row r="394" spans="1:2">
      <c r="A394" s="19">
        <f t="shared" si="5"/>
        <v>9.8399999999999181</v>
      </c>
      <c r="B394" s="108">
        <f>A394*SQRT(1-EXP(-2*Sheet1!$M$103*Sheet1!$M$105/A394^2))</f>
        <v>9.3976012618541347</v>
      </c>
    </row>
    <row r="395" spans="1:2">
      <c r="A395" s="19">
        <f t="shared" si="5"/>
        <v>9.8499999999999179</v>
      </c>
      <c r="B395" s="108">
        <f>A395*SQRT(1-EXP(-2*Sheet1!$M$103*Sheet1!$M$105/A395^2))</f>
        <v>9.4049090996803475</v>
      </c>
    </row>
    <row r="396" spans="1:2">
      <c r="A396" s="19">
        <f t="shared" ref="A396:A459" si="6">A395+$B$7</f>
        <v>9.8599999999999177</v>
      </c>
      <c r="B396" s="108">
        <f>A396*SQRT(1-EXP(-2*Sheet1!$M$103*Sheet1!$M$105/A396^2))</f>
        <v>9.4122076194184103</v>
      </c>
    </row>
    <row r="397" spans="1:2">
      <c r="A397" s="19">
        <f t="shared" si="6"/>
        <v>9.8699999999999175</v>
      </c>
      <c r="B397" s="108">
        <f>A397*SQRT(1-EXP(-2*Sheet1!$M$103*Sheet1!$M$105/A397^2))</f>
        <v>9.4194968220048487</v>
      </c>
    </row>
    <row r="398" spans="1:2">
      <c r="A398" s="19">
        <f t="shared" si="6"/>
        <v>9.8799999999999173</v>
      </c>
      <c r="B398" s="108">
        <f>A398*SQRT(1-EXP(-2*Sheet1!$M$103*Sheet1!$M$105/A398^2))</f>
        <v>9.4267767084590002</v>
      </c>
    </row>
    <row r="399" spans="1:2">
      <c r="A399" s="19">
        <f t="shared" si="6"/>
        <v>9.8899999999999171</v>
      </c>
      <c r="B399" s="108">
        <f>A399*SQRT(1-EXP(-2*Sheet1!$M$103*Sheet1!$M$105/A399^2))</f>
        <v>9.4340472798825274</v>
      </c>
    </row>
    <row r="400" spans="1:2">
      <c r="A400" s="19">
        <f t="shared" si="6"/>
        <v>9.8999999999999169</v>
      </c>
      <c r="B400" s="108">
        <f>A400*SQRT(1-EXP(-2*Sheet1!$M$103*Sheet1!$M$105/A400^2))</f>
        <v>9.4413085374589443</v>
      </c>
    </row>
    <row r="401" spans="1:2">
      <c r="A401" s="19">
        <f t="shared" si="6"/>
        <v>9.9099999999999167</v>
      </c>
      <c r="B401" s="108">
        <f>A401*SQRT(1-EXP(-2*Sheet1!$M$103*Sheet1!$M$105/A401^2))</f>
        <v>9.4485604824531322</v>
      </c>
    </row>
    <row r="402" spans="1:2">
      <c r="A402" s="19">
        <f t="shared" si="6"/>
        <v>9.9199999999999164</v>
      </c>
      <c r="B402" s="108">
        <f>A402*SQRT(1-EXP(-2*Sheet1!$M$103*Sheet1!$M$105/A402^2))</f>
        <v>9.4558031162108769</v>
      </c>
    </row>
    <row r="403" spans="1:2">
      <c r="A403" s="19">
        <f t="shared" si="6"/>
        <v>9.9299999999999162</v>
      </c>
      <c r="B403" s="108">
        <f>A403*SQRT(1-EXP(-2*Sheet1!$M$103*Sheet1!$M$105/A403^2))</f>
        <v>9.4630364401583744</v>
      </c>
    </row>
    <row r="404" spans="1:2">
      <c r="A404" s="19">
        <f t="shared" si="6"/>
        <v>9.939999999999916</v>
      </c>
      <c r="B404" s="108">
        <f>A404*SQRT(1-EXP(-2*Sheet1!$M$103*Sheet1!$M$105/A404^2))</f>
        <v>9.4702604558017658</v>
      </c>
    </row>
    <row r="405" spans="1:2">
      <c r="A405" s="19">
        <f t="shared" si="6"/>
        <v>9.9499999999999158</v>
      </c>
      <c r="B405" s="108">
        <f>A405*SQRT(1-EXP(-2*Sheet1!$M$103*Sheet1!$M$105/A405^2))</f>
        <v>9.4774751647266644</v>
      </c>
    </row>
    <row r="406" spans="1:2">
      <c r="A406" s="19">
        <f t="shared" si="6"/>
        <v>9.9599999999999156</v>
      </c>
      <c r="B406" s="108">
        <f>A406*SQRT(1-EXP(-2*Sheet1!$M$103*Sheet1!$M$105/A406^2))</f>
        <v>9.4846805685976729</v>
      </c>
    </row>
    <row r="407" spans="1:2">
      <c r="A407" s="19">
        <f t="shared" si="6"/>
        <v>9.9699999999999154</v>
      </c>
      <c r="B407" s="108">
        <f>A407*SQRT(1-EXP(-2*Sheet1!$M$103*Sheet1!$M$105/A407^2))</f>
        <v>9.4918766691579162</v>
      </c>
    </row>
    <row r="408" spans="1:2">
      <c r="A408" s="19">
        <f t="shared" si="6"/>
        <v>9.9799999999999152</v>
      </c>
      <c r="B408" s="108">
        <f>A408*SQRT(1-EXP(-2*Sheet1!$M$103*Sheet1!$M$105/A408^2))</f>
        <v>9.4990634682285702</v>
      </c>
    </row>
    <row r="409" spans="1:2">
      <c r="A409" s="19">
        <f t="shared" si="6"/>
        <v>9.9899999999999149</v>
      </c>
      <c r="B409" s="108">
        <f>A409*SQRT(1-EXP(-2*Sheet1!$M$103*Sheet1!$M$105/A409^2))</f>
        <v>9.5062409677083846</v>
      </c>
    </row>
    <row r="410" spans="1:2">
      <c r="A410" s="19">
        <f t="shared" si="6"/>
        <v>9.9999999999999147</v>
      </c>
      <c r="B410" s="108">
        <f>A410*SQRT(1-EXP(-2*Sheet1!$M$103*Sheet1!$M$105/A410^2))</f>
        <v>9.5134091695732117</v>
      </c>
    </row>
    <row r="411" spans="1:2">
      <c r="A411" s="19">
        <f t="shared" si="6"/>
        <v>10.009999999999915</v>
      </c>
      <c r="B411" s="108">
        <f>A411*SQRT(1-EXP(-2*Sheet1!$M$103*Sheet1!$M$105/A411^2))</f>
        <v>9.5205680758755484</v>
      </c>
    </row>
    <row r="412" spans="1:2">
      <c r="A412" s="19">
        <f t="shared" si="6"/>
        <v>10.019999999999914</v>
      </c>
      <c r="B412" s="108">
        <f>A412*SQRT(1-EXP(-2*Sheet1!$M$103*Sheet1!$M$105/A412^2))</f>
        <v>9.5277176887440476</v>
      </c>
    </row>
    <row r="413" spans="1:2">
      <c r="A413" s="19">
        <f t="shared" si="6"/>
        <v>10.029999999999914</v>
      </c>
      <c r="B413" s="108">
        <f>A413*SQRT(1-EXP(-2*Sheet1!$M$103*Sheet1!$M$105/A413^2))</f>
        <v>9.534858010383072</v>
      </c>
    </row>
    <row r="414" spans="1:2">
      <c r="A414" s="19">
        <f t="shared" si="6"/>
        <v>10.039999999999914</v>
      </c>
      <c r="B414" s="108">
        <f>A414*SQRT(1-EXP(-2*Sheet1!$M$103*Sheet1!$M$105/A414^2))</f>
        <v>9.5419890430722045</v>
      </c>
    </row>
    <row r="415" spans="1:2">
      <c r="A415" s="19">
        <f t="shared" si="6"/>
        <v>10.049999999999914</v>
      </c>
      <c r="B415" s="108">
        <f>A415*SQRT(1-EXP(-2*Sheet1!$M$103*Sheet1!$M$105/A415^2))</f>
        <v>9.5491107891657983</v>
      </c>
    </row>
    <row r="416" spans="1:2">
      <c r="A416" s="19">
        <f t="shared" si="6"/>
        <v>10.059999999999913</v>
      </c>
      <c r="B416" s="108">
        <f>A416*SQRT(1-EXP(-2*Sheet1!$M$103*Sheet1!$M$105/A416^2))</f>
        <v>9.5562232510925078</v>
      </c>
    </row>
    <row r="417" spans="1:2">
      <c r="A417" s="19">
        <f t="shared" si="6"/>
        <v>10.069999999999913</v>
      </c>
      <c r="B417" s="108">
        <f>A417*SQRT(1-EXP(-2*Sheet1!$M$103*Sheet1!$M$105/A417^2))</f>
        <v>9.563326431354815</v>
      </c>
    </row>
    <row r="418" spans="1:2">
      <c r="A418" s="19">
        <f t="shared" si="6"/>
        <v>10.079999999999913</v>
      </c>
      <c r="B418" s="108">
        <f>A418*SQRT(1-EXP(-2*Sheet1!$M$103*Sheet1!$M$105/A418^2))</f>
        <v>9.570420332528581</v>
      </c>
    </row>
    <row r="419" spans="1:2">
      <c r="A419" s="19">
        <f t="shared" si="6"/>
        <v>10.089999999999913</v>
      </c>
      <c r="B419" s="108">
        <f>A419*SQRT(1-EXP(-2*Sheet1!$M$103*Sheet1!$M$105/A419^2))</f>
        <v>9.577504957262569</v>
      </c>
    </row>
    <row r="420" spans="1:2">
      <c r="A420" s="19">
        <f t="shared" si="6"/>
        <v>10.099999999999913</v>
      </c>
      <c r="B420" s="108">
        <f>A420*SQRT(1-EXP(-2*Sheet1!$M$103*Sheet1!$M$105/A420^2))</f>
        <v>9.5845803082779941</v>
      </c>
    </row>
    <row r="421" spans="1:2">
      <c r="A421" s="19">
        <f t="shared" si="6"/>
        <v>10.109999999999912</v>
      </c>
      <c r="B421" s="108">
        <f>A421*SQRT(1-EXP(-2*Sheet1!$M$103*Sheet1!$M$105/A421^2))</f>
        <v>9.5916463883680567</v>
      </c>
    </row>
    <row r="422" spans="1:2">
      <c r="A422" s="19">
        <f t="shared" si="6"/>
        <v>10.119999999999912</v>
      </c>
      <c r="B422" s="108">
        <f>A422*SQRT(1-EXP(-2*Sheet1!$M$103*Sheet1!$M$105/A422^2))</f>
        <v>9.5987032003974857</v>
      </c>
    </row>
    <row r="423" spans="1:2">
      <c r="A423" s="19">
        <f t="shared" si="6"/>
        <v>10.129999999999912</v>
      </c>
      <c r="B423" s="108">
        <f>A423*SQRT(1-EXP(-2*Sheet1!$M$103*Sheet1!$M$105/A423^2))</f>
        <v>9.6057507473020767</v>
      </c>
    </row>
    <row r="424" spans="1:2">
      <c r="A424" s="19">
        <f t="shared" si="6"/>
        <v>10.139999999999912</v>
      </c>
      <c r="B424" s="108">
        <f>A424*SQRT(1-EXP(-2*Sheet1!$M$103*Sheet1!$M$105/A424^2))</f>
        <v>9.612789032088239</v>
      </c>
    </row>
    <row r="425" spans="1:2">
      <c r="A425" s="19">
        <f t="shared" si="6"/>
        <v>10.149999999999912</v>
      </c>
      <c r="B425" s="108">
        <f>A425*SQRT(1-EXP(-2*Sheet1!$M$103*Sheet1!$M$105/A425^2))</f>
        <v>9.6198180578325392</v>
      </c>
    </row>
    <row r="426" spans="1:2">
      <c r="A426" s="19">
        <f t="shared" si="6"/>
        <v>10.159999999999911</v>
      </c>
      <c r="B426" s="108">
        <f>A426*SQRT(1-EXP(-2*Sheet1!$M$103*Sheet1!$M$105/A426^2))</f>
        <v>9.6268378276812392</v>
      </c>
    </row>
    <row r="427" spans="1:2">
      <c r="A427" s="19">
        <f t="shared" si="6"/>
        <v>10.169999999999911</v>
      </c>
      <c r="B427" s="108">
        <f>A427*SQRT(1-EXP(-2*Sheet1!$M$103*Sheet1!$M$105/A427^2))</f>
        <v>9.633848344849854</v>
      </c>
    </row>
    <row r="428" spans="1:2">
      <c r="A428" s="19">
        <f t="shared" si="6"/>
        <v>10.179999999999911</v>
      </c>
      <c r="B428" s="108">
        <f>A428*SQRT(1-EXP(-2*Sheet1!$M$103*Sheet1!$M$105/A428^2))</f>
        <v>9.6408496126226897</v>
      </c>
    </row>
    <row r="429" spans="1:2">
      <c r="A429" s="19">
        <f t="shared" si="6"/>
        <v>10.189999999999911</v>
      </c>
      <c r="B429" s="108">
        <f>A429*SQRT(1-EXP(-2*Sheet1!$M$103*Sheet1!$M$105/A429^2))</f>
        <v>9.6478416343523925</v>
      </c>
    </row>
    <row r="430" spans="1:2">
      <c r="A430" s="19">
        <f t="shared" si="6"/>
        <v>10.19999999999991</v>
      </c>
      <c r="B430" s="108">
        <f>A430*SQRT(1-EXP(-2*Sheet1!$M$103*Sheet1!$M$105/A430^2))</f>
        <v>9.6548244134595063</v>
      </c>
    </row>
    <row r="431" spans="1:2">
      <c r="A431" s="19">
        <f t="shared" si="6"/>
        <v>10.20999999999991</v>
      </c>
      <c r="B431" s="108">
        <f>A431*SQRT(1-EXP(-2*Sheet1!$M$103*Sheet1!$M$105/A431^2))</f>
        <v>9.6617979534320124</v>
      </c>
    </row>
    <row r="432" spans="1:2">
      <c r="A432" s="19">
        <f t="shared" si="6"/>
        <v>10.21999999999991</v>
      </c>
      <c r="B432" s="108">
        <f>A432*SQRT(1-EXP(-2*Sheet1!$M$103*Sheet1!$M$105/A432^2))</f>
        <v>9.6687622578248877</v>
      </c>
    </row>
    <row r="433" spans="1:2">
      <c r="A433" s="19">
        <f t="shared" si="6"/>
        <v>10.22999999999991</v>
      </c>
      <c r="B433" s="108">
        <f>A433*SQRT(1-EXP(-2*Sheet1!$M$103*Sheet1!$M$105/A433^2))</f>
        <v>9.6757173302596566</v>
      </c>
    </row>
    <row r="434" spans="1:2">
      <c r="A434" s="19">
        <f t="shared" si="6"/>
        <v>10.23999999999991</v>
      </c>
      <c r="B434" s="108">
        <f>A434*SQRT(1-EXP(-2*Sheet1!$M$103*Sheet1!$M$105/A434^2))</f>
        <v>9.6826631744239489</v>
      </c>
    </row>
    <row r="435" spans="1:2">
      <c r="A435" s="19">
        <f t="shared" si="6"/>
        <v>10.249999999999909</v>
      </c>
      <c r="B435" s="108">
        <f>A435*SQRT(1-EXP(-2*Sheet1!$M$103*Sheet1!$M$105/A435^2))</f>
        <v>9.6895997940710465</v>
      </c>
    </row>
    <row r="436" spans="1:2">
      <c r="A436" s="19">
        <f t="shared" si="6"/>
        <v>10.259999999999909</v>
      </c>
      <c r="B436" s="108">
        <f>A436*SQRT(1-EXP(-2*Sheet1!$M$103*Sheet1!$M$105/A436^2))</f>
        <v>9.6965271930194472</v>
      </c>
    </row>
    <row r="437" spans="1:2">
      <c r="A437" s="19">
        <f t="shared" si="6"/>
        <v>10.269999999999909</v>
      </c>
      <c r="B437" s="108">
        <f>A437*SQRT(1-EXP(-2*Sheet1!$M$103*Sheet1!$M$105/A437^2))</f>
        <v>9.7034453751524214</v>
      </c>
    </row>
    <row r="438" spans="1:2">
      <c r="A438" s="19">
        <f t="shared" si="6"/>
        <v>10.279999999999909</v>
      </c>
      <c r="B438" s="108">
        <f>A438*SQRT(1-EXP(-2*Sheet1!$M$103*Sheet1!$M$105/A438^2))</f>
        <v>9.7103543444175724</v>
      </c>
    </row>
    <row r="439" spans="1:2">
      <c r="A439" s="19">
        <f t="shared" si="6"/>
        <v>10.289999999999909</v>
      </c>
      <c r="B439" s="108">
        <f>A439*SQRT(1-EXP(-2*Sheet1!$M$103*Sheet1!$M$105/A439^2))</f>
        <v>9.7172541048263916</v>
      </c>
    </row>
    <row r="440" spans="1:2">
      <c r="A440" s="19">
        <f t="shared" si="6"/>
        <v>10.299999999999908</v>
      </c>
      <c r="B440" s="108">
        <f>A440*SQRT(1-EXP(-2*Sheet1!$M$103*Sheet1!$M$105/A440^2))</f>
        <v>9.7241446604538293</v>
      </c>
    </row>
    <row r="441" spans="1:2">
      <c r="A441" s="19">
        <f t="shared" si="6"/>
        <v>10.309999999999908</v>
      </c>
      <c r="B441" s="108">
        <f>A441*SQRT(1-EXP(-2*Sheet1!$M$103*Sheet1!$M$105/A441^2))</f>
        <v>9.7310260154378447</v>
      </c>
    </row>
    <row r="442" spans="1:2">
      <c r="A442" s="19">
        <f t="shared" si="6"/>
        <v>10.319999999999908</v>
      </c>
      <c r="B442" s="108">
        <f>A442*SQRT(1-EXP(-2*Sheet1!$M$103*Sheet1!$M$105/A442^2))</f>
        <v>9.7378981739789872</v>
      </c>
    </row>
    <row r="443" spans="1:2">
      <c r="A443" s="19">
        <f t="shared" si="6"/>
        <v>10.329999999999908</v>
      </c>
      <c r="B443" s="108">
        <f>A443*SQRT(1-EXP(-2*Sheet1!$M$103*Sheet1!$M$105/A443^2))</f>
        <v>9.7447611403399463</v>
      </c>
    </row>
    <row r="444" spans="1:2">
      <c r="A444" s="19">
        <f t="shared" si="6"/>
        <v>10.339999999999907</v>
      </c>
      <c r="B444" s="108">
        <f>A444*SQRT(1-EXP(-2*Sheet1!$M$103*Sheet1!$M$105/A444^2))</f>
        <v>9.7516149188451315</v>
      </c>
    </row>
    <row r="445" spans="1:2">
      <c r="A445" s="19">
        <f t="shared" si="6"/>
        <v>10.349999999999907</v>
      </c>
      <c r="B445" s="108">
        <f>A445*SQRT(1-EXP(-2*Sheet1!$M$103*Sheet1!$M$105/A445^2))</f>
        <v>9.7584595138802275</v>
      </c>
    </row>
    <row r="446" spans="1:2">
      <c r="A446" s="19">
        <f t="shared" si="6"/>
        <v>10.359999999999907</v>
      </c>
      <c r="B446" s="108">
        <f>A446*SQRT(1-EXP(-2*Sheet1!$M$103*Sheet1!$M$105/A446^2))</f>
        <v>9.7652949298917768</v>
      </c>
    </row>
    <row r="447" spans="1:2">
      <c r="A447" s="19">
        <f t="shared" si="6"/>
        <v>10.369999999999907</v>
      </c>
      <c r="B447" s="108">
        <f>A447*SQRT(1-EXP(-2*Sheet1!$M$103*Sheet1!$M$105/A447^2))</f>
        <v>9.7721211713867415</v>
      </c>
    </row>
    <row r="448" spans="1:2">
      <c r="A448" s="19">
        <f t="shared" si="6"/>
        <v>10.379999999999907</v>
      </c>
      <c r="B448" s="108">
        <f>A448*SQRT(1-EXP(-2*Sheet1!$M$103*Sheet1!$M$105/A448^2))</f>
        <v>9.7789382429320835</v>
      </c>
    </row>
    <row r="449" spans="1:2">
      <c r="A449" s="19">
        <f t="shared" si="6"/>
        <v>10.389999999999906</v>
      </c>
      <c r="B449" s="108">
        <f>A449*SQRT(1-EXP(-2*Sheet1!$M$103*Sheet1!$M$105/A449^2))</f>
        <v>9.7857461491543276</v>
      </c>
    </row>
    <row r="450" spans="1:2">
      <c r="A450" s="19">
        <f t="shared" si="6"/>
        <v>10.399999999999906</v>
      </c>
      <c r="B450" s="108">
        <f>A450*SQRT(1-EXP(-2*Sheet1!$M$103*Sheet1!$M$105/A450^2))</f>
        <v>9.7925448947391498</v>
      </c>
    </row>
    <row r="451" spans="1:2">
      <c r="A451" s="19">
        <f t="shared" si="6"/>
        <v>10.409999999999906</v>
      </c>
      <c r="B451" s="108">
        <f>A451*SQRT(1-EXP(-2*Sheet1!$M$103*Sheet1!$M$105/A451^2))</f>
        <v>9.7993344844309416</v>
      </c>
    </row>
    <row r="452" spans="1:2">
      <c r="A452" s="19">
        <f t="shared" si="6"/>
        <v>10.419999999999906</v>
      </c>
      <c r="B452" s="108">
        <f>A452*SQRT(1-EXP(-2*Sheet1!$M$103*Sheet1!$M$105/A452^2))</f>
        <v>9.8061149230323963</v>
      </c>
    </row>
    <row r="453" spans="1:2">
      <c r="A453" s="19">
        <f t="shared" si="6"/>
        <v>10.429999999999906</v>
      </c>
      <c r="B453" s="108">
        <f>A453*SQRT(1-EXP(-2*Sheet1!$M$103*Sheet1!$M$105/A453^2))</f>
        <v>9.8128862154040863</v>
      </c>
    </row>
    <row r="454" spans="1:2">
      <c r="A454" s="19">
        <f t="shared" si="6"/>
        <v>10.439999999999905</v>
      </c>
      <c r="B454" s="108">
        <f>A454*SQRT(1-EXP(-2*Sheet1!$M$103*Sheet1!$M$105/A454^2))</f>
        <v>9.8196483664640422</v>
      </c>
    </row>
    <row r="455" spans="1:2">
      <c r="A455" s="19">
        <f t="shared" si="6"/>
        <v>10.449999999999905</v>
      </c>
      <c r="B455" s="108">
        <f>A455*SQRT(1-EXP(-2*Sheet1!$M$103*Sheet1!$M$105/A455^2))</f>
        <v>9.826401381187333</v>
      </c>
    </row>
    <row r="456" spans="1:2">
      <c r="A456" s="19">
        <f t="shared" si="6"/>
        <v>10.459999999999905</v>
      </c>
      <c r="B456" s="108">
        <f>A456*SQRT(1-EXP(-2*Sheet1!$M$103*Sheet1!$M$105/A456^2))</f>
        <v>9.8331452646056547</v>
      </c>
    </row>
    <row r="457" spans="1:2">
      <c r="A457" s="19">
        <f t="shared" si="6"/>
        <v>10.469999999999905</v>
      </c>
      <c r="B457" s="108">
        <f>A457*SQRT(1-EXP(-2*Sheet1!$M$103*Sheet1!$M$105/A457^2))</f>
        <v>9.8398800218069145</v>
      </c>
    </row>
    <row r="458" spans="1:2">
      <c r="A458" s="19">
        <f t="shared" si="6"/>
        <v>10.479999999999905</v>
      </c>
      <c r="B458" s="108">
        <f>A458*SQRT(1-EXP(-2*Sheet1!$M$103*Sheet1!$M$105/A458^2))</f>
        <v>9.8466056579348145</v>
      </c>
    </row>
    <row r="459" spans="1:2">
      <c r="A459" s="19">
        <f t="shared" si="6"/>
        <v>10.489999999999904</v>
      </c>
      <c r="B459" s="108">
        <f>A459*SQRT(1-EXP(-2*Sheet1!$M$103*Sheet1!$M$105/A459^2))</f>
        <v>9.8533221781884404</v>
      </c>
    </row>
    <row r="460" spans="1:2">
      <c r="A460" s="19">
        <f t="shared" ref="A460:A523" si="7">A459+$B$7</f>
        <v>10.499999999999904</v>
      </c>
      <c r="B460" s="108">
        <f>A460*SQRT(1-EXP(-2*Sheet1!$M$103*Sheet1!$M$105/A460^2))</f>
        <v>9.8600295878218507</v>
      </c>
    </row>
    <row r="461" spans="1:2">
      <c r="A461" s="19">
        <f t="shared" si="7"/>
        <v>10.509999999999904</v>
      </c>
      <c r="B461" s="108">
        <f>A461*SQRT(1-EXP(-2*Sheet1!$M$103*Sheet1!$M$105/A461^2))</f>
        <v>9.8667278921436701</v>
      </c>
    </row>
    <row r="462" spans="1:2">
      <c r="A462" s="19">
        <f t="shared" si="7"/>
        <v>10.519999999999904</v>
      </c>
      <c r="B462" s="108">
        <f>A462*SQRT(1-EXP(-2*Sheet1!$M$103*Sheet1!$M$105/A462^2))</f>
        <v>9.8734170965166808</v>
      </c>
    </row>
    <row r="463" spans="1:2">
      <c r="A463" s="19">
        <f t="shared" si="7"/>
        <v>10.529999999999903</v>
      </c>
      <c r="B463" s="108">
        <f>A463*SQRT(1-EXP(-2*Sheet1!$M$103*Sheet1!$M$105/A463^2))</f>
        <v>9.8800972063574068</v>
      </c>
    </row>
    <row r="464" spans="1:2">
      <c r="A464" s="19">
        <f t="shared" si="7"/>
        <v>10.539999999999903</v>
      </c>
      <c r="B464" s="108">
        <f>A464*SQRT(1-EXP(-2*Sheet1!$M$103*Sheet1!$M$105/A464^2))</f>
        <v>9.8867682271357289</v>
      </c>
    </row>
    <row r="465" spans="1:2">
      <c r="A465" s="19">
        <f t="shared" si="7"/>
        <v>10.549999999999903</v>
      </c>
      <c r="B465" s="108">
        <f>A465*SQRT(1-EXP(-2*Sheet1!$M$103*Sheet1!$M$105/A465^2))</f>
        <v>9.8934301643744647</v>
      </c>
    </row>
    <row r="466" spans="1:2">
      <c r="A466" s="19">
        <f t="shared" si="7"/>
        <v>10.559999999999903</v>
      </c>
      <c r="B466" s="108">
        <f>A466*SQRT(1-EXP(-2*Sheet1!$M$103*Sheet1!$M$105/A466^2))</f>
        <v>9.9000830236489712</v>
      </c>
    </row>
    <row r="467" spans="1:2">
      <c r="A467" s="19">
        <f t="shared" si="7"/>
        <v>10.569999999999903</v>
      </c>
      <c r="B467" s="108">
        <f>A467*SQRT(1-EXP(-2*Sheet1!$M$103*Sheet1!$M$105/A467^2))</f>
        <v>9.9067268105867452</v>
      </c>
    </row>
    <row r="468" spans="1:2">
      <c r="A468" s="19">
        <f t="shared" si="7"/>
        <v>10.579999999999902</v>
      </c>
      <c r="B468" s="108">
        <f>A468*SQRT(1-EXP(-2*Sheet1!$M$103*Sheet1!$M$105/A468^2))</f>
        <v>9.9133615308670251</v>
      </c>
    </row>
    <row r="469" spans="1:2">
      <c r="A469" s="19">
        <f t="shared" si="7"/>
        <v>10.589999999999902</v>
      </c>
      <c r="B469" s="108">
        <f>A469*SQRT(1-EXP(-2*Sheet1!$M$103*Sheet1!$M$105/A469^2))</f>
        <v>9.9199871902203949</v>
      </c>
    </row>
    <row r="470" spans="1:2">
      <c r="A470" s="19">
        <f t="shared" si="7"/>
        <v>10.599999999999902</v>
      </c>
      <c r="B470" s="108">
        <f>A470*SQRT(1-EXP(-2*Sheet1!$M$103*Sheet1!$M$105/A470^2))</f>
        <v>9.9266037944283827</v>
      </c>
    </row>
    <row r="471" spans="1:2">
      <c r="A471" s="19">
        <f t="shared" si="7"/>
        <v>10.609999999999902</v>
      </c>
      <c r="B471" s="108">
        <f>A471*SQRT(1-EXP(-2*Sheet1!$M$103*Sheet1!$M$105/A471^2))</f>
        <v>9.9332113493230736</v>
      </c>
    </row>
    <row r="472" spans="1:2">
      <c r="A472" s="19">
        <f t="shared" si="7"/>
        <v>10.619999999999902</v>
      </c>
      <c r="B472" s="108">
        <f>A472*SQRT(1-EXP(-2*Sheet1!$M$103*Sheet1!$M$105/A472^2))</f>
        <v>9.939809860786708</v>
      </c>
    </row>
    <row r="473" spans="1:2">
      <c r="A473" s="19">
        <f t="shared" si="7"/>
        <v>10.629999999999901</v>
      </c>
      <c r="B473" s="108">
        <f>A473*SQRT(1-EXP(-2*Sheet1!$M$103*Sheet1!$M$105/A473^2))</f>
        <v>9.9463993347513018</v>
      </c>
    </row>
    <row r="474" spans="1:2">
      <c r="A474" s="19">
        <f t="shared" si="7"/>
        <v>10.639999999999901</v>
      </c>
      <c r="B474" s="108">
        <f>A474*SQRT(1-EXP(-2*Sheet1!$M$103*Sheet1!$M$105/A474^2))</f>
        <v>9.9529797771982462</v>
      </c>
    </row>
    <row r="475" spans="1:2">
      <c r="A475" s="19">
        <f t="shared" si="7"/>
        <v>10.649999999999901</v>
      </c>
      <c r="B475" s="108">
        <f>A475*SQRT(1-EXP(-2*Sheet1!$M$103*Sheet1!$M$105/A475^2))</f>
        <v>9.9595511941579229</v>
      </c>
    </row>
    <row r="476" spans="1:2">
      <c r="A476" s="19">
        <f t="shared" si="7"/>
        <v>10.659999999999901</v>
      </c>
      <c r="B476" s="108">
        <f>A476*SQRT(1-EXP(-2*Sheet1!$M$103*Sheet1!$M$105/A476^2))</f>
        <v>9.9661135917093215</v>
      </c>
    </row>
    <row r="477" spans="1:2">
      <c r="A477" s="19">
        <f t="shared" si="7"/>
        <v>10.6699999999999</v>
      </c>
      <c r="B477" s="108">
        <f>A477*SQRT(1-EXP(-2*Sheet1!$M$103*Sheet1!$M$105/A477^2))</f>
        <v>9.9726669759796458</v>
      </c>
    </row>
    <row r="478" spans="1:2">
      <c r="A478" s="19">
        <f t="shared" si="7"/>
        <v>10.6799999999999</v>
      </c>
      <c r="B478" s="108">
        <f>A478*SQRT(1-EXP(-2*Sheet1!$M$103*Sheet1!$M$105/A478^2))</f>
        <v>9.9792113531439401</v>
      </c>
    </row>
    <row r="479" spans="1:2">
      <c r="A479" s="19">
        <f t="shared" si="7"/>
        <v>10.6899999999999</v>
      </c>
      <c r="B479" s="108">
        <f>A479*SQRT(1-EXP(-2*Sheet1!$M$103*Sheet1!$M$105/A479^2))</f>
        <v>9.9857467294246973</v>
      </c>
    </row>
    <row r="480" spans="1:2">
      <c r="A480" s="19">
        <f t="shared" si="7"/>
        <v>10.6999999999999</v>
      </c>
      <c r="B480" s="108">
        <f>A480*SQRT(1-EXP(-2*Sheet1!$M$103*Sheet1!$M$105/A480^2))</f>
        <v>9.9922731110914835</v>
      </c>
    </row>
    <row r="481" spans="1:2">
      <c r="A481" s="19">
        <f t="shared" si="7"/>
        <v>10.7099999999999</v>
      </c>
      <c r="B481" s="108">
        <f>A481*SQRT(1-EXP(-2*Sheet1!$M$103*Sheet1!$M$105/A481^2))</f>
        <v>9.9987905044605654</v>
      </c>
    </row>
    <row r="482" spans="1:2">
      <c r="A482" s="19">
        <f t="shared" si="7"/>
        <v>10.719999999999899</v>
      </c>
      <c r="B482" s="108">
        <f>A482*SQRT(1-EXP(-2*Sheet1!$M$103*Sheet1!$M$105/A482^2))</f>
        <v>10.005298915894512</v>
      </c>
    </row>
    <row r="483" spans="1:2">
      <c r="A483" s="19">
        <f t="shared" si="7"/>
        <v>10.729999999999899</v>
      </c>
      <c r="B483" s="108">
        <f>A483*SQRT(1-EXP(-2*Sheet1!$M$103*Sheet1!$M$105/A483^2))</f>
        <v>10.011798351801845</v>
      </c>
    </row>
    <row r="484" spans="1:2">
      <c r="A484" s="19">
        <f t="shared" si="7"/>
        <v>10.739999999999899</v>
      </c>
      <c r="B484" s="108">
        <f>A484*SQRT(1-EXP(-2*Sheet1!$M$103*Sheet1!$M$105/A484^2))</f>
        <v>10.018288818636645</v>
      </c>
    </row>
    <row r="485" spans="1:2">
      <c r="A485" s="19">
        <f t="shared" si="7"/>
        <v>10.749999999999899</v>
      </c>
      <c r="B485" s="108">
        <f>A485*SQRT(1-EXP(-2*Sheet1!$M$103*Sheet1!$M$105/A485^2))</f>
        <v>10.024770322898187</v>
      </c>
    </row>
    <row r="486" spans="1:2">
      <c r="A486" s="19">
        <f t="shared" si="7"/>
        <v>10.759999999999899</v>
      </c>
      <c r="B486" s="108">
        <f>A486*SQRT(1-EXP(-2*Sheet1!$M$103*Sheet1!$M$105/A486^2))</f>
        <v>10.031242871130566</v>
      </c>
    </row>
    <row r="487" spans="1:2">
      <c r="A487" s="19">
        <f t="shared" si="7"/>
        <v>10.769999999999898</v>
      </c>
      <c r="B487" s="108">
        <f>A487*SQRT(1-EXP(-2*Sheet1!$M$103*Sheet1!$M$105/A487^2))</f>
        <v>10.037706469922329</v>
      </c>
    </row>
    <row r="488" spans="1:2">
      <c r="A488" s="19">
        <f t="shared" si="7"/>
        <v>10.779999999999898</v>
      </c>
      <c r="B488" s="108">
        <f>A488*SQRT(1-EXP(-2*Sheet1!$M$103*Sheet1!$M$105/A488^2))</f>
        <v>10.044161125906106</v>
      </c>
    </row>
    <row r="489" spans="1:2">
      <c r="A489" s="19">
        <f t="shared" si="7"/>
        <v>10.789999999999898</v>
      </c>
      <c r="B489" s="108">
        <f>A489*SQRT(1-EXP(-2*Sheet1!$M$103*Sheet1!$M$105/A489^2))</f>
        <v>10.050606845758246</v>
      </c>
    </row>
    <row r="490" spans="1:2">
      <c r="A490" s="19">
        <f t="shared" si="7"/>
        <v>10.799999999999898</v>
      </c>
      <c r="B490" s="108">
        <f>A490*SQRT(1-EXP(-2*Sheet1!$M$103*Sheet1!$M$105/A490^2))</f>
        <v>10.057043636198447</v>
      </c>
    </row>
    <row r="491" spans="1:2">
      <c r="A491" s="19">
        <f t="shared" si="7"/>
        <v>10.809999999999897</v>
      </c>
      <c r="B491" s="108">
        <f>A491*SQRT(1-EXP(-2*Sheet1!$M$103*Sheet1!$M$105/A491^2))</f>
        <v>10.063471503989392</v>
      </c>
    </row>
    <row r="492" spans="1:2">
      <c r="A492" s="19">
        <f t="shared" si="7"/>
        <v>10.819999999999897</v>
      </c>
      <c r="B492" s="108">
        <f>A492*SQRT(1-EXP(-2*Sheet1!$M$103*Sheet1!$M$105/A492^2))</f>
        <v>10.069890455936399</v>
      </c>
    </row>
    <row r="493" spans="1:2">
      <c r="A493" s="19">
        <f t="shared" si="7"/>
        <v>10.829999999999897</v>
      </c>
      <c r="B493" s="108">
        <f>A493*SQRT(1-EXP(-2*Sheet1!$M$103*Sheet1!$M$105/A493^2))</f>
        <v>10.076300498887042</v>
      </c>
    </row>
    <row r="494" spans="1:2">
      <c r="A494" s="19">
        <f t="shared" si="7"/>
        <v>10.839999999999897</v>
      </c>
      <c r="B494" s="108">
        <f>A494*SQRT(1-EXP(-2*Sheet1!$M$103*Sheet1!$M$105/A494^2))</f>
        <v>10.082701639730807</v>
      </c>
    </row>
    <row r="495" spans="1:2">
      <c r="A495" s="19">
        <f t="shared" si="7"/>
        <v>10.849999999999897</v>
      </c>
      <c r="B495" s="108">
        <f>A495*SQRT(1-EXP(-2*Sheet1!$M$103*Sheet1!$M$105/A495^2))</f>
        <v>10.089093885398727</v>
      </c>
    </row>
    <row r="496" spans="1:2">
      <c r="A496" s="19">
        <f t="shared" si="7"/>
        <v>10.859999999999896</v>
      </c>
      <c r="B496" s="108">
        <f>A496*SQRT(1-EXP(-2*Sheet1!$M$103*Sheet1!$M$105/A496^2))</f>
        <v>10.095477242863032</v>
      </c>
    </row>
    <row r="497" spans="1:2">
      <c r="A497" s="19">
        <f t="shared" si="7"/>
        <v>10.869999999999896</v>
      </c>
      <c r="B497" s="108">
        <f>A497*SQRT(1-EXP(-2*Sheet1!$M$103*Sheet1!$M$105/A497^2))</f>
        <v>10.101851719136786</v>
      </c>
    </row>
    <row r="498" spans="1:2">
      <c r="A498" s="19">
        <f t="shared" si="7"/>
        <v>10.879999999999896</v>
      </c>
      <c r="B498" s="108">
        <f>A498*SQRT(1-EXP(-2*Sheet1!$M$103*Sheet1!$M$105/A498^2))</f>
        <v>10.108217321273548</v>
      </c>
    </row>
    <row r="499" spans="1:2">
      <c r="A499" s="19">
        <f t="shared" si="7"/>
        <v>10.889999999999896</v>
      </c>
      <c r="B499" s="108">
        <f>A499*SQRT(1-EXP(-2*Sheet1!$M$103*Sheet1!$M$105/A499^2))</f>
        <v>10.114574056367003</v>
      </c>
    </row>
    <row r="500" spans="1:2">
      <c r="A500" s="19">
        <f t="shared" si="7"/>
        <v>10.899999999999896</v>
      </c>
      <c r="B500" s="108">
        <f>A500*SQRT(1-EXP(-2*Sheet1!$M$103*Sheet1!$M$105/A500^2))</f>
        <v>10.120921931550633</v>
      </c>
    </row>
    <row r="501" spans="1:2">
      <c r="A501" s="19">
        <f t="shared" si="7"/>
        <v>10.909999999999895</v>
      </c>
      <c r="B501" s="108">
        <f>A501*SQRT(1-EXP(-2*Sheet1!$M$103*Sheet1!$M$105/A501^2))</f>
        <v>10.127260953997352</v>
      </c>
    </row>
    <row r="502" spans="1:2">
      <c r="A502" s="19">
        <f t="shared" si="7"/>
        <v>10.919999999999895</v>
      </c>
      <c r="B502" s="108">
        <f>A502*SQRT(1-EXP(-2*Sheet1!$M$103*Sheet1!$M$105/A502^2))</f>
        <v>10.133591130919168</v>
      </c>
    </row>
    <row r="503" spans="1:2">
      <c r="A503" s="19">
        <f t="shared" si="7"/>
        <v>10.929999999999895</v>
      </c>
      <c r="B503" s="108">
        <f>A503*SQRT(1-EXP(-2*Sheet1!$M$103*Sheet1!$M$105/A503^2))</f>
        <v>10.139912469566838</v>
      </c>
    </row>
    <row r="504" spans="1:2">
      <c r="A504" s="19">
        <f t="shared" si="7"/>
        <v>10.939999999999895</v>
      </c>
      <c r="B504" s="108">
        <f>A504*SQRT(1-EXP(-2*Sheet1!$M$103*Sheet1!$M$105/A504^2))</f>
        <v>10.146224977229524</v>
      </c>
    </row>
    <row r="505" spans="1:2">
      <c r="A505" s="19">
        <f t="shared" si="7"/>
        <v>10.949999999999894</v>
      </c>
      <c r="B505" s="108">
        <f>A505*SQRT(1-EXP(-2*Sheet1!$M$103*Sheet1!$M$105/A505^2))</f>
        <v>10.152528661234447</v>
      </c>
    </row>
    <row r="506" spans="1:2">
      <c r="A506" s="19">
        <f t="shared" si="7"/>
        <v>10.959999999999894</v>
      </c>
      <c r="B506" s="108">
        <f>A506*SQRT(1-EXP(-2*Sheet1!$M$103*Sheet1!$M$105/A506^2))</f>
        <v>10.158823528946559</v>
      </c>
    </row>
    <row r="507" spans="1:2">
      <c r="A507" s="19">
        <f t="shared" si="7"/>
        <v>10.969999999999894</v>
      </c>
      <c r="B507" s="108">
        <f>A507*SQRT(1-EXP(-2*Sheet1!$M$103*Sheet1!$M$105/A507^2))</f>
        <v>10.165109587768189</v>
      </c>
    </row>
    <row r="508" spans="1:2">
      <c r="A508" s="19">
        <f t="shared" si="7"/>
        <v>10.979999999999894</v>
      </c>
      <c r="B508" s="108">
        <f>A508*SQRT(1-EXP(-2*Sheet1!$M$103*Sheet1!$M$105/A508^2))</f>
        <v>10.171386845138716</v>
      </c>
    </row>
    <row r="509" spans="1:2">
      <c r="A509" s="19">
        <f t="shared" si="7"/>
        <v>10.989999999999894</v>
      </c>
      <c r="B509" s="108">
        <f>A509*SQRT(1-EXP(-2*Sheet1!$M$103*Sheet1!$M$105/A509^2))</f>
        <v>10.177655308534236</v>
      </c>
    </row>
    <row r="510" spans="1:2">
      <c r="A510" s="19">
        <f t="shared" si="7"/>
        <v>10.999999999999893</v>
      </c>
      <c r="B510" s="108">
        <f>A510*SQRT(1-EXP(-2*Sheet1!$M$103*Sheet1!$M$105/A510^2))</f>
        <v>10.183914985467217</v>
      </c>
    </row>
    <row r="511" spans="1:2">
      <c r="A511" s="19">
        <f t="shared" si="7"/>
        <v>11.009999999999893</v>
      </c>
      <c r="B511" s="108">
        <f>A511*SQRT(1-EXP(-2*Sheet1!$M$103*Sheet1!$M$105/A511^2))</f>
        <v>10.190165883486177</v>
      </c>
    </row>
    <row r="512" spans="1:2">
      <c r="A512" s="19">
        <f t="shared" si="7"/>
        <v>11.019999999999893</v>
      </c>
      <c r="B512" s="108">
        <f>A512*SQRT(1-EXP(-2*Sheet1!$M$103*Sheet1!$M$105/A512^2))</f>
        <v>10.196408010175354</v>
      </c>
    </row>
    <row r="513" spans="1:2">
      <c r="A513" s="19">
        <f t="shared" si="7"/>
        <v>11.029999999999893</v>
      </c>
      <c r="B513" s="108">
        <f>A513*SQRT(1-EXP(-2*Sheet1!$M$103*Sheet1!$M$105/A513^2))</f>
        <v>10.202641373154368</v>
      </c>
    </row>
    <row r="514" spans="1:2">
      <c r="A514" s="19">
        <f t="shared" si="7"/>
        <v>11.039999999999893</v>
      </c>
      <c r="B514" s="108">
        <f>A514*SQRT(1-EXP(-2*Sheet1!$M$103*Sheet1!$M$105/A514^2))</f>
        <v>10.208865980077897</v>
      </c>
    </row>
    <row r="515" spans="1:2">
      <c r="A515" s="19">
        <f t="shared" si="7"/>
        <v>11.049999999999892</v>
      </c>
      <c r="B515" s="108">
        <f>A515*SQRT(1-EXP(-2*Sheet1!$M$103*Sheet1!$M$105/A515^2))</f>
        <v>10.21508183863536</v>
      </c>
    </row>
    <row r="516" spans="1:2">
      <c r="A516" s="19">
        <f t="shared" si="7"/>
        <v>11.059999999999892</v>
      </c>
      <c r="B516" s="108">
        <f>A516*SQRT(1-EXP(-2*Sheet1!$M$103*Sheet1!$M$105/A516^2))</f>
        <v>10.22128895655058</v>
      </c>
    </row>
    <row r="517" spans="1:2">
      <c r="A517" s="19">
        <f t="shared" si="7"/>
        <v>11.069999999999892</v>
      </c>
      <c r="B517" s="108">
        <f>A517*SQRT(1-EXP(-2*Sheet1!$M$103*Sheet1!$M$105/A517^2))</f>
        <v>10.227487341581471</v>
      </c>
    </row>
    <row r="518" spans="1:2">
      <c r="A518" s="19">
        <f t="shared" si="7"/>
        <v>11.079999999999892</v>
      </c>
      <c r="B518" s="108">
        <f>A518*SQRT(1-EXP(-2*Sheet1!$M$103*Sheet1!$M$105/A518^2))</f>
        <v>10.233677001519705</v>
      </c>
    </row>
    <row r="519" spans="1:2">
      <c r="A519" s="19">
        <f t="shared" si="7"/>
        <v>11.089999999999892</v>
      </c>
      <c r="B519" s="108">
        <f>A519*SQRT(1-EXP(-2*Sheet1!$M$103*Sheet1!$M$105/A519^2))</f>
        <v>10.239857944190412</v>
      </c>
    </row>
    <row r="520" spans="1:2">
      <c r="A520" s="19">
        <f t="shared" si="7"/>
        <v>11.099999999999891</v>
      </c>
      <c r="B520" s="108">
        <f>A520*SQRT(1-EXP(-2*Sheet1!$M$103*Sheet1!$M$105/A520^2))</f>
        <v>10.246030177451839</v>
      </c>
    </row>
    <row r="521" spans="1:2">
      <c r="A521" s="19">
        <f t="shared" si="7"/>
        <v>11.109999999999891</v>
      </c>
      <c r="B521" s="108">
        <f>A521*SQRT(1-EXP(-2*Sheet1!$M$103*Sheet1!$M$105/A521^2))</f>
        <v>10.252193709195048</v>
      </c>
    </row>
    <row r="522" spans="1:2">
      <c r="A522" s="19">
        <f t="shared" si="7"/>
        <v>11.119999999999891</v>
      </c>
      <c r="B522" s="108">
        <f>A522*SQRT(1-EXP(-2*Sheet1!$M$103*Sheet1!$M$105/A522^2))</f>
        <v>10.258348547343601</v>
      </c>
    </row>
    <row r="523" spans="1:2">
      <c r="A523" s="19">
        <f t="shared" si="7"/>
        <v>11.129999999999891</v>
      </c>
      <c r="B523" s="108">
        <f>A523*SQRT(1-EXP(-2*Sheet1!$M$103*Sheet1!$M$105/A523^2))</f>
        <v>10.264494699853239</v>
      </c>
    </row>
    <row r="524" spans="1:2">
      <c r="A524" s="19">
        <f t="shared" ref="A524:A587" si="8">A523+$B$7</f>
        <v>11.13999999999989</v>
      </c>
      <c r="B524" s="108">
        <f>A524*SQRT(1-EXP(-2*Sheet1!$M$103*Sheet1!$M$105/A524^2))</f>
        <v>10.270632174711574</v>
      </c>
    </row>
    <row r="525" spans="1:2">
      <c r="A525" s="19">
        <f t="shared" si="8"/>
        <v>11.14999999999989</v>
      </c>
      <c r="B525" s="108">
        <f>A525*SQRT(1-EXP(-2*Sheet1!$M$103*Sheet1!$M$105/A525^2))</f>
        <v>10.276760979937784</v>
      </c>
    </row>
    <row r="526" spans="1:2">
      <c r="A526" s="19">
        <f t="shared" si="8"/>
        <v>11.15999999999989</v>
      </c>
      <c r="B526" s="108">
        <f>A526*SQRT(1-EXP(-2*Sheet1!$M$103*Sheet1!$M$105/A526^2))</f>
        <v>10.282881123582291</v>
      </c>
    </row>
    <row r="527" spans="1:2">
      <c r="A527" s="19">
        <f t="shared" si="8"/>
        <v>11.16999999999989</v>
      </c>
      <c r="B527" s="108">
        <f>A527*SQRT(1-EXP(-2*Sheet1!$M$103*Sheet1!$M$105/A527^2))</f>
        <v>10.288992613726473</v>
      </c>
    </row>
    <row r="528" spans="1:2">
      <c r="A528" s="19">
        <f t="shared" si="8"/>
        <v>11.17999999999989</v>
      </c>
      <c r="B528" s="108">
        <f>A528*SQRT(1-EXP(-2*Sheet1!$M$103*Sheet1!$M$105/A528^2))</f>
        <v>10.295095458482333</v>
      </c>
    </row>
    <row r="529" spans="1:2">
      <c r="A529" s="19">
        <f t="shared" si="8"/>
        <v>11.189999999999889</v>
      </c>
      <c r="B529" s="108">
        <f>A529*SQRT(1-EXP(-2*Sheet1!$M$103*Sheet1!$M$105/A529^2))</f>
        <v>10.301189665992224</v>
      </c>
    </row>
    <row r="530" spans="1:2">
      <c r="A530" s="19">
        <f t="shared" si="8"/>
        <v>11.199999999999889</v>
      </c>
      <c r="B530" s="108">
        <f>A530*SQRT(1-EXP(-2*Sheet1!$M$103*Sheet1!$M$105/A530^2))</f>
        <v>10.307275244428522</v>
      </c>
    </row>
    <row r="531" spans="1:2">
      <c r="A531" s="19">
        <f t="shared" si="8"/>
        <v>11.209999999999889</v>
      </c>
      <c r="B531" s="108">
        <f>A531*SQRT(1-EXP(-2*Sheet1!$M$103*Sheet1!$M$105/A531^2))</f>
        <v>10.313352201993339</v>
      </c>
    </row>
    <row r="532" spans="1:2">
      <c r="A532" s="19">
        <f t="shared" si="8"/>
        <v>11.219999999999889</v>
      </c>
      <c r="B532" s="108">
        <f>A532*SQRT(1-EXP(-2*Sheet1!$M$103*Sheet1!$M$105/A532^2))</f>
        <v>10.319420546918217</v>
      </c>
    </row>
    <row r="533" spans="1:2">
      <c r="A533" s="19">
        <f t="shared" si="8"/>
        <v>11.229999999999889</v>
      </c>
      <c r="B533" s="108">
        <f>A533*SQRT(1-EXP(-2*Sheet1!$M$103*Sheet1!$M$105/A533^2))</f>
        <v>10.325480287463829</v>
      </c>
    </row>
    <row r="534" spans="1:2">
      <c r="A534" s="19">
        <f t="shared" si="8"/>
        <v>11.239999999999888</v>
      </c>
      <c r="B534" s="108">
        <f>A534*SQRT(1-EXP(-2*Sheet1!$M$103*Sheet1!$M$105/A534^2))</f>
        <v>10.331531431919695</v>
      </c>
    </row>
    <row r="535" spans="1:2">
      <c r="A535" s="19">
        <f t="shared" si="8"/>
        <v>11.249999999999888</v>
      </c>
      <c r="B535" s="108">
        <f>A535*SQRT(1-EXP(-2*Sheet1!$M$103*Sheet1!$M$105/A535^2))</f>
        <v>10.337573988603868</v>
      </c>
    </row>
    <row r="536" spans="1:2">
      <c r="A536" s="19">
        <f t="shared" si="8"/>
        <v>11.259999999999888</v>
      </c>
      <c r="B536" s="108">
        <f>A536*SQRT(1-EXP(-2*Sheet1!$M$103*Sheet1!$M$105/A536^2))</f>
        <v>10.343607965862656</v>
      </c>
    </row>
    <row r="537" spans="1:2">
      <c r="A537" s="19">
        <f t="shared" si="8"/>
        <v>11.269999999999888</v>
      </c>
      <c r="B537" s="108">
        <f>A537*SQRT(1-EXP(-2*Sheet1!$M$103*Sheet1!$M$105/A537^2))</f>
        <v>10.349633372070322</v>
      </c>
    </row>
    <row r="538" spans="1:2">
      <c r="A538" s="19">
        <f t="shared" si="8"/>
        <v>11.279999999999887</v>
      </c>
      <c r="B538" s="108">
        <f>A538*SQRT(1-EXP(-2*Sheet1!$M$103*Sheet1!$M$105/A538^2))</f>
        <v>10.355650215628799</v>
      </c>
    </row>
    <row r="539" spans="1:2">
      <c r="A539" s="19">
        <f t="shared" si="8"/>
        <v>11.289999999999887</v>
      </c>
      <c r="B539" s="108">
        <f>A539*SQRT(1-EXP(-2*Sheet1!$M$103*Sheet1!$M$105/A539^2))</f>
        <v>10.361658504967394</v>
      </c>
    </row>
    <row r="540" spans="1:2">
      <c r="A540" s="19">
        <f t="shared" si="8"/>
        <v>11.299999999999887</v>
      </c>
      <c r="B540" s="108">
        <f>A540*SQRT(1-EXP(-2*Sheet1!$M$103*Sheet1!$M$105/A540^2))</f>
        <v>10.367658248542508</v>
      </c>
    </row>
    <row r="541" spans="1:2">
      <c r="A541" s="19">
        <f t="shared" si="8"/>
        <v>11.309999999999887</v>
      </c>
      <c r="B541" s="108">
        <f>A541*SQRT(1-EXP(-2*Sheet1!$M$103*Sheet1!$M$105/A541^2))</f>
        <v>10.373649454837345</v>
      </c>
    </row>
    <row r="542" spans="1:2">
      <c r="A542" s="19">
        <f t="shared" si="8"/>
        <v>11.319999999999887</v>
      </c>
      <c r="B542" s="108">
        <f>A542*SQRT(1-EXP(-2*Sheet1!$M$103*Sheet1!$M$105/A542^2))</f>
        <v>10.379632132361632</v>
      </c>
    </row>
    <row r="543" spans="1:2">
      <c r="A543" s="19">
        <f t="shared" si="8"/>
        <v>11.329999999999886</v>
      </c>
      <c r="B543" s="108">
        <f>A543*SQRT(1-EXP(-2*Sheet1!$M$103*Sheet1!$M$105/A543^2))</f>
        <v>10.385606289651333</v>
      </c>
    </row>
    <row r="544" spans="1:2">
      <c r="A544" s="19">
        <f t="shared" si="8"/>
        <v>11.339999999999886</v>
      </c>
      <c r="B544" s="108">
        <f>A544*SQRT(1-EXP(-2*Sheet1!$M$103*Sheet1!$M$105/A544^2))</f>
        <v>10.391571935268367</v>
      </c>
    </row>
    <row r="545" spans="1:2">
      <c r="A545" s="19">
        <f t="shared" si="8"/>
        <v>11.349999999999886</v>
      </c>
      <c r="B545" s="108">
        <f>A545*SQRT(1-EXP(-2*Sheet1!$M$103*Sheet1!$M$105/A545^2))</f>
        <v>10.397529077800332</v>
      </c>
    </row>
    <row r="546" spans="1:2">
      <c r="A546" s="19">
        <f t="shared" si="8"/>
        <v>11.359999999999886</v>
      </c>
      <c r="B546" s="108">
        <f>A546*SQRT(1-EXP(-2*Sheet1!$M$103*Sheet1!$M$105/A546^2))</f>
        <v>10.403477725860226</v>
      </c>
    </row>
    <row r="547" spans="1:2">
      <c r="A547" s="19">
        <f t="shared" si="8"/>
        <v>11.369999999999886</v>
      </c>
      <c r="B547" s="108">
        <f>A547*SQRT(1-EXP(-2*Sheet1!$M$103*Sheet1!$M$105/A547^2))</f>
        <v>10.409417888086164</v>
      </c>
    </row>
    <row r="548" spans="1:2">
      <c r="A548" s="19">
        <f t="shared" si="8"/>
        <v>11.379999999999885</v>
      </c>
      <c r="B548" s="108">
        <f>A548*SQRT(1-EXP(-2*Sheet1!$M$103*Sheet1!$M$105/A548^2))</f>
        <v>10.415349573141111</v>
      </c>
    </row>
    <row r="549" spans="1:2">
      <c r="A549" s="19">
        <f t="shared" si="8"/>
        <v>11.389999999999885</v>
      </c>
      <c r="B549" s="108">
        <f>A549*SQRT(1-EXP(-2*Sheet1!$M$103*Sheet1!$M$105/A549^2))</f>
        <v>10.421272789712603</v>
      </c>
    </row>
    <row r="550" spans="1:2">
      <c r="A550" s="19">
        <f t="shared" si="8"/>
        <v>11.399999999999885</v>
      </c>
      <c r="B550" s="108">
        <f>A550*SQRT(1-EXP(-2*Sheet1!$M$103*Sheet1!$M$105/A550^2))</f>
        <v>10.427187546512476</v>
      </c>
    </row>
    <row r="551" spans="1:2">
      <c r="A551" s="19">
        <f t="shared" si="8"/>
        <v>11.409999999999885</v>
      </c>
      <c r="B551" s="108">
        <f>A551*SQRT(1-EXP(-2*Sheet1!$M$103*Sheet1!$M$105/A551^2))</f>
        <v>10.433093852276599</v>
      </c>
    </row>
    <row r="552" spans="1:2">
      <c r="A552" s="19">
        <f t="shared" si="8"/>
        <v>11.419999999999884</v>
      </c>
      <c r="B552" s="108">
        <f>A552*SQRT(1-EXP(-2*Sheet1!$M$103*Sheet1!$M$105/A552^2))</f>
        <v>10.438991715764596</v>
      </c>
    </row>
    <row r="553" spans="1:2">
      <c r="A553" s="19">
        <f t="shared" si="8"/>
        <v>11.429999999999884</v>
      </c>
      <c r="B553" s="108">
        <f>A553*SQRT(1-EXP(-2*Sheet1!$M$103*Sheet1!$M$105/A553^2))</f>
        <v>10.444881145759581</v>
      </c>
    </row>
    <row r="554" spans="1:2">
      <c r="A554" s="19">
        <f t="shared" si="8"/>
        <v>11.439999999999884</v>
      </c>
      <c r="B554" s="108">
        <f>A554*SQRT(1-EXP(-2*Sheet1!$M$103*Sheet1!$M$105/A554^2))</f>
        <v>10.450762151067901</v>
      </c>
    </row>
    <row r="555" spans="1:2">
      <c r="A555" s="19">
        <f t="shared" si="8"/>
        <v>11.449999999999884</v>
      </c>
      <c r="B555" s="108">
        <f>A555*SQRT(1-EXP(-2*Sheet1!$M$103*Sheet1!$M$105/A555^2))</f>
        <v>10.456634740518858</v>
      </c>
    </row>
    <row r="556" spans="1:2">
      <c r="A556" s="19">
        <f t="shared" si="8"/>
        <v>11.459999999999884</v>
      </c>
      <c r="B556" s="108">
        <f>A556*SQRT(1-EXP(-2*Sheet1!$M$103*Sheet1!$M$105/A556^2))</f>
        <v>10.462498922964452</v>
      </c>
    </row>
    <row r="557" spans="1:2">
      <c r="A557" s="19">
        <f t="shared" si="8"/>
        <v>11.469999999999883</v>
      </c>
      <c r="B557" s="108">
        <f>A557*SQRT(1-EXP(-2*Sheet1!$M$103*Sheet1!$M$105/A557^2))</f>
        <v>10.468354707279117</v>
      </c>
    </row>
    <row r="558" spans="1:2">
      <c r="A558" s="19">
        <f t="shared" si="8"/>
        <v>11.479999999999883</v>
      </c>
      <c r="B558" s="108">
        <f>A558*SQRT(1-EXP(-2*Sheet1!$M$103*Sheet1!$M$105/A558^2))</f>
        <v>10.474202102359461</v>
      </c>
    </row>
    <row r="559" spans="1:2">
      <c r="A559" s="19">
        <f t="shared" si="8"/>
        <v>11.489999999999883</v>
      </c>
      <c r="B559" s="108">
        <f>A559*SQRT(1-EXP(-2*Sheet1!$M$103*Sheet1!$M$105/A559^2))</f>
        <v>10.48004111712401</v>
      </c>
    </row>
    <row r="560" spans="1:2">
      <c r="A560" s="19">
        <f t="shared" si="8"/>
        <v>11.499999999999883</v>
      </c>
      <c r="B560" s="108">
        <f>A560*SQRT(1-EXP(-2*Sheet1!$M$103*Sheet1!$M$105/A560^2))</f>
        <v>10.485871760512941</v>
      </c>
    </row>
    <row r="561" spans="1:2">
      <c r="A561" s="19">
        <f t="shared" si="8"/>
        <v>11.509999999999883</v>
      </c>
      <c r="B561" s="108">
        <f>A561*SQRT(1-EXP(-2*Sheet1!$M$103*Sheet1!$M$105/A561^2))</f>
        <v>10.491694041487838</v>
      </c>
    </row>
    <row r="562" spans="1:2">
      <c r="A562" s="19">
        <f t="shared" si="8"/>
        <v>11.519999999999882</v>
      </c>
      <c r="B562" s="108">
        <f>A562*SQRT(1-EXP(-2*Sheet1!$M$103*Sheet1!$M$105/A562^2))</f>
        <v>10.497507969031428</v>
      </c>
    </row>
    <row r="563" spans="1:2">
      <c r="A563" s="19">
        <f t="shared" si="8"/>
        <v>11.529999999999882</v>
      </c>
      <c r="B563" s="108">
        <f>A563*SQRT(1-EXP(-2*Sheet1!$M$103*Sheet1!$M$105/A563^2))</f>
        <v>10.503313552147327</v>
      </c>
    </row>
    <row r="564" spans="1:2">
      <c r="A564" s="19">
        <f t="shared" si="8"/>
        <v>11.539999999999882</v>
      </c>
      <c r="B564" s="108">
        <f>A564*SQRT(1-EXP(-2*Sheet1!$M$103*Sheet1!$M$105/A564^2))</f>
        <v>10.509110799859798</v>
      </c>
    </row>
    <row r="565" spans="1:2">
      <c r="A565" s="19">
        <f t="shared" si="8"/>
        <v>11.549999999999882</v>
      </c>
      <c r="B565" s="108">
        <f>A565*SQRT(1-EXP(-2*Sheet1!$M$103*Sheet1!$M$105/A565^2))</f>
        <v>10.514899721213489</v>
      </c>
    </row>
    <row r="566" spans="1:2">
      <c r="A566" s="19">
        <f t="shared" si="8"/>
        <v>11.559999999999881</v>
      </c>
      <c r="B566" s="108">
        <f>A566*SQRT(1-EXP(-2*Sheet1!$M$103*Sheet1!$M$105/A566^2))</f>
        <v>10.52068032527319</v>
      </c>
    </row>
    <row r="567" spans="1:2">
      <c r="A567" s="19">
        <f t="shared" si="8"/>
        <v>11.569999999999881</v>
      </c>
      <c r="B567" s="108">
        <f>A567*SQRT(1-EXP(-2*Sheet1!$M$103*Sheet1!$M$105/A567^2))</f>
        <v>10.526452621123584</v>
      </c>
    </row>
    <row r="568" spans="1:2">
      <c r="A568" s="19">
        <f t="shared" si="8"/>
        <v>11.579999999999881</v>
      </c>
      <c r="B568" s="108">
        <f>A568*SQRT(1-EXP(-2*Sheet1!$M$103*Sheet1!$M$105/A568^2))</f>
        <v>10.532216617869</v>
      </c>
    </row>
    <row r="569" spans="1:2">
      <c r="A569" s="19">
        <f t="shared" si="8"/>
        <v>11.589999999999881</v>
      </c>
      <c r="B569" s="108">
        <f>A569*SQRT(1-EXP(-2*Sheet1!$M$103*Sheet1!$M$105/A569^2))</f>
        <v>10.537972324633168</v>
      </c>
    </row>
    <row r="570" spans="1:2">
      <c r="A570" s="19">
        <f t="shared" si="8"/>
        <v>11.599999999999881</v>
      </c>
      <c r="B570" s="108">
        <f>A570*SQRT(1-EXP(-2*Sheet1!$M$103*Sheet1!$M$105/A570^2))</f>
        <v>10.543719750558978</v>
      </c>
    </row>
    <row r="571" spans="1:2">
      <c r="A571" s="19">
        <f t="shared" si="8"/>
        <v>11.60999999999988</v>
      </c>
      <c r="B571" s="108">
        <f>A571*SQRT(1-EXP(-2*Sheet1!$M$103*Sheet1!$M$105/A571^2))</f>
        <v>10.549458904808233</v>
      </c>
    </row>
    <row r="572" spans="1:2">
      <c r="A572" s="19">
        <f t="shared" si="8"/>
        <v>11.61999999999988</v>
      </c>
      <c r="B572" s="108">
        <f>A572*SQRT(1-EXP(-2*Sheet1!$M$103*Sheet1!$M$105/A572^2))</f>
        <v>10.555189796561413</v>
      </c>
    </row>
    <row r="573" spans="1:2">
      <c r="A573" s="19">
        <f t="shared" si="8"/>
        <v>11.62999999999988</v>
      </c>
      <c r="B573" s="108">
        <f>A573*SQRT(1-EXP(-2*Sheet1!$M$103*Sheet1!$M$105/A573^2))</f>
        <v>10.560912435017432</v>
      </c>
    </row>
    <row r="574" spans="1:2">
      <c r="A574" s="19">
        <f t="shared" si="8"/>
        <v>11.63999999999988</v>
      </c>
      <c r="B574" s="108">
        <f>A574*SQRT(1-EXP(-2*Sheet1!$M$103*Sheet1!$M$105/A574^2))</f>
        <v>10.566626829393407</v>
      </c>
    </row>
    <row r="575" spans="1:2">
      <c r="A575" s="19">
        <f t="shared" si="8"/>
        <v>11.64999999999988</v>
      </c>
      <c r="B575" s="108">
        <f>A575*SQRT(1-EXP(-2*Sheet1!$M$103*Sheet1!$M$105/A575^2))</f>
        <v>10.572332988924405</v>
      </c>
    </row>
    <row r="576" spans="1:2">
      <c r="A576" s="19">
        <f t="shared" si="8"/>
        <v>11.659999999999879</v>
      </c>
      <c r="B576" s="108">
        <f>A576*SQRT(1-EXP(-2*Sheet1!$M$103*Sheet1!$M$105/A576^2))</f>
        <v>10.578030922863231</v>
      </c>
    </row>
    <row r="577" spans="1:2">
      <c r="A577" s="19">
        <f t="shared" si="8"/>
        <v>11.669999999999879</v>
      </c>
      <c r="B577" s="108">
        <f>A577*SQRT(1-EXP(-2*Sheet1!$M$103*Sheet1!$M$105/A577^2))</f>
        <v>10.583720640480175</v>
      </c>
    </row>
    <row r="578" spans="1:2">
      <c r="A578" s="19">
        <f t="shared" si="8"/>
        <v>11.679999999999879</v>
      </c>
      <c r="B578" s="108">
        <f>A578*SQRT(1-EXP(-2*Sheet1!$M$103*Sheet1!$M$105/A578^2))</f>
        <v>10.58940215106279</v>
      </c>
    </row>
    <row r="579" spans="1:2">
      <c r="A579" s="19">
        <f t="shared" si="8"/>
        <v>11.689999999999879</v>
      </c>
      <c r="B579" s="108">
        <f>A579*SQRT(1-EXP(-2*Sheet1!$M$103*Sheet1!$M$105/A579^2))</f>
        <v>10.595075463915654</v>
      </c>
    </row>
    <row r="580" spans="1:2">
      <c r="A580" s="19">
        <f t="shared" si="8"/>
        <v>11.699999999999878</v>
      </c>
      <c r="B580" s="108">
        <f>A580*SQRT(1-EXP(-2*Sheet1!$M$103*Sheet1!$M$105/A580^2))</f>
        <v>10.600740588360148</v>
      </c>
    </row>
    <row r="581" spans="1:2">
      <c r="A581" s="19">
        <f t="shared" si="8"/>
        <v>11.709999999999878</v>
      </c>
      <c r="B581" s="108">
        <f>A581*SQRT(1-EXP(-2*Sheet1!$M$103*Sheet1!$M$105/A581^2))</f>
        <v>10.606397533734219</v>
      </c>
    </row>
    <row r="582" spans="1:2">
      <c r="A582" s="19">
        <f t="shared" si="8"/>
        <v>11.719999999999878</v>
      </c>
      <c r="B582" s="108">
        <f>A582*SQRT(1-EXP(-2*Sheet1!$M$103*Sheet1!$M$105/A582^2))</f>
        <v>10.612046309392163</v>
      </c>
    </row>
    <row r="583" spans="1:2">
      <c r="A583" s="19">
        <f t="shared" si="8"/>
        <v>11.729999999999878</v>
      </c>
      <c r="B583" s="108">
        <f>A583*SQRT(1-EXP(-2*Sheet1!$M$103*Sheet1!$M$105/A583^2))</f>
        <v>10.617686924704387</v>
      </c>
    </row>
    <row r="584" spans="1:2">
      <c r="A584" s="19">
        <f t="shared" si="8"/>
        <v>11.739999999999878</v>
      </c>
      <c r="B584" s="108">
        <f>A584*SQRT(1-EXP(-2*Sheet1!$M$103*Sheet1!$M$105/A584^2))</f>
        <v>10.623319389057196</v>
      </c>
    </row>
    <row r="585" spans="1:2">
      <c r="A585" s="19">
        <f t="shared" si="8"/>
        <v>11.749999999999877</v>
      </c>
      <c r="B585" s="108">
        <f>A585*SQRT(1-EXP(-2*Sheet1!$M$103*Sheet1!$M$105/A585^2))</f>
        <v>10.628943711852564</v>
      </c>
    </row>
    <row r="586" spans="1:2">
      <c r="A586" s="19">
        <f t="shared" si="8"/>
        <v>11.759999999999877</v>
      </c>
      <c r="B586" s="108">
        <f>A586*SQRT(1-EXP(-2*Sheet1!$M$103*Sheet1!$M$105/A586^2))</f>
        <v>10.634559902507913</v>
      </c>
    </row>
    <row r="587" spans="1:2">
      <c r="A587" s="19">
        <f t="shared" si="8"/>
        <v>11.769999999999877</v>
      </c>
      <c r="B587" s="108">
        <f>A587*SQRT(1-EXP(-2*Sheet1!$M$103*Sheet1!$M$105/A587^2))</f>
        <v>10.640167970455895</v>
      </c>
    </row>
    <row r="588" spans="1:2">
      <c r="A588" s="19">
        <f t="shared" ref="A588:A651" si="9">A587+$B$7</f>
        <v>11.779999999999877</v>
      </c>
      <c r="B588" s="108">
        <f>A588*SQRT(1-EXP(-2*Sheet1!$M$103*Sheet1!$M$105/A588^2))</f>
        <v>10.64576792514417</v>
      </c>
    </row>
    <row r="589" spans="1:2">
      <c r="A589" s="19">
        <f t="shared" si="9"/>
        <v>11.789999999999877</v>
      </c>
      <c r="B589" s="108">
        <f>A589*SQRT(1-EXP(-2*Sheet1!$M$103*Sheet1!$M$105/A589^2))</f>
        <v>10.651359776035191</v>
      </c>
    </row>
    <row r="590" spans="1:2">
      <c r="A590" s="19">
        <f t="shared" si="9"/>
        <v>11.799999999999876</v>
      </c>
      <c r="B590" s="108">
        <f>A590*SQRT(1-EXP(-2*Sheet1!$M$103*Sheet1!$M$105/A590^2))</f>
        <v>10.656943532605982</v>
      </c>
    </row>
    <row r="591" spans="1:2">
      <c r="A591" s="19">
        <f t="shared" si="9"/>
        <v>11.809999999999876</v>
      </c>
      <c r="B591" s="108">
        <f>A591*SQRT(1-EXP(-2*Sheet1!$M$103*Sheet1!$M$105/A591^2))</f>
        <v>10.662519204347934</v>
      </c>
    </row>
    <row r="592" spans="1:2">
      <c r="A592" s="19">
        <f t="shared" si="9"/>
        <v>11.819999999999876</v>
      </c>
      <c r="B592" s="108">
        <f>A592*SQRT(1-EXP(-2*Sheet1!$M$103*Sheet1!$M$105/A592^2))</f>
        <v>10.668086800766575</v>
      </c>
    </row>
    <row r="593" spans="1:2">
      <c r="A593" s="19">
        <f t="shared" si="9"/>
        <v>11.829999999999876</v>
      </c>
      <c r="B593" s="108">
        <f>A593*SQRT(1-EXP(-2*Sheet1!$M$103*Sheet1!$M$105/A593^2))</f>
        <v>10.673646331381381</v>
      </c>
    </row>
    <row r="594" spans="1:2">
      <c r="A594" s="19">
        <f t="shared" si="9"/>
        <v>11.839999999999876</v>
      </c>
      <c r="B594" s="108">
        <f>A594*SQRT(1-EXP(-2*Sheet1!$M$103*Sheet1!$M$105/A594^2))</f>
        <v>10.679197805725535</v>
      </c>
    </row>
    <row r="595" spans="1:2">
      <c r="A595" s="19">
        <f t="shared" si="9"/>
        <v>11.849999999999875</v>
      </c>
      <c r="B595" s="108">
        <f>A595*SQRT(1-EXP(-2*Sheet1!$M$103*Sheet1!$M$105/A595^2))</f>
        <v>10.684741233345742</v>
      </c>
    </row>
    <row r="596" spans="1:2">
      <c r="A596" s="19">
        <f t="shared" si="9"/>
        <v>11.859999999999875</v>
      </c>
      <c r="B596" s="108">
        <f>A596*SQRT(1-EXP(-2*Sheet1!$M$103*Sheet1!$M$105/A596^2))</f>
        <v>10.69027662380201</v>
      </c>
    </row>
    <row r="597" spans="1:2">
      <c r="A597" s="19">
        <f t="shared" si="9"/>
        <v>11.869999999999875</v>
      </c>
      <c r="B597" s="108">
        <f>A597*SQRT(1-EXP(-2*Sheet1!$M$103*Sheet1!$M$105/A597^2))</f>
        <v>10.695803986667444</v>
      </c>
    </row>
    <row r="598" spans="1:2">
      <c r="A598" s="19">
        <f t="shared" si="9"/>
        <v>11.879999999999875</v>
      </c>
      <c r="B598" s="108">
        <f>A598*SQRT(1-EXP(-2*Sheet1!$M$103*Sheet1!$M$105/A598^2))</f>
        <v>10.701323331528037</v>
      </c>
    </row>
    <row r="599" spans="1:2">
      <c r="A599" s="19">
        <f t="shared" si="9"/>
        <v>11.889999999999874</v>
      </c>
      <c r="B599" s="108">
        <f>A599*SQRT(1-EXP(-2*Sheet1!$M$103*Sheet1!$M$105/A599^2))</f>
        <v>10.706834667982474</v>
      </c>
    </row>
    <row r="600" spans="1:2">
      <c r="A600" s="19">
        <f t="shared" si="9"/>
        <v>11.899999999999874</v>
      </c>
      <c r="B600" s="108">
        <f>A600*SQRT(1-EXP(-2*Sheet1!$M$103*Sheet1!$M$105/A600^2))</f>
        <v>10.712338005641916</v>
      </c>
    </row>
    <row r="601" spans="1:2">
      <c r="A601" s="19">
        <f t="shared" si="9"/>
        <v>11.909999999999874</v>
      </c>
      <c r="B601" s="108">
        <f>A601*SQRT(1-EXP(-2*Sheet1!$M$103*Sheet1!$M$105/A601^2))</f>
        <v>10.717833354129807</v>
      </c>
    </row>
    <row r="602" spans="1:2">
      <c r="A602" s="19">
        <f t="shared" si="9"/>
        <v>11.919999999999874</v>
      </c>
      <c r="B602" s="108">
        <f>A602*SQRT(1-EXP(-2*Sheet1!$M$103*Sheet1!$M$105/A602^2))</f>
        <v>10.723320723081674</v>
      </c>
    </row>
    <row r="603" spans="1:2">
      <c r="A603" s="19">
        <f t="shared" si="9"/>
        <v>11.929999999999874</v>
      </c>
      <c r="B603" s="108">
        <f>A603*SQRT(1-EXP(-2*Sheet1!$M$103*Sheet1!$M$105/A603^2))</f>
        <v>10.72880012214492</v>
      </c>
    </row>
    <row r="604" spans="1:2">
      <c r="A604" s="19">
        <f t="shared" si="9"/>
        <v>11.939999999999873</v>
      </c>
      <c r="B604" s="108">
        <f>A604*SQRT(1-EXP(-2*Sheet1!$M$103*Sheet1!$M$105/A604^2))</f>
        <v>10.734271560978627</v>
      </c>
    </row>
    <row r="605" spans="1:2">
      <c r="A605" s="19">
        <f t="shared" si="9"/>
        <v>11.949999999999873</v>
      </c>
      <c r="B605" s="108">
        <f>A605*SQRT(1-EXP(-2*Sheet1!$M$103*Sheet1!$M$105/A605^2))</f>
        <v>10.739735049253365</v>
      </c>
    </row>
    <row r="606" spans="1:2">
      <c r="A606" s="19">
        <f t="shared" si="9"/>
        <v>11.959999999999873</v>
      </c>
      <c r="B606" s="108">
        <f>A606*SQRT(1-EXP(-2*Sheet1!$M$103*Sheet1!$M$105/A606^2))</f>
        <v>10.745190596650996</v>
      </c>
    </row>
    <row r="607" spans="1:2">
      <c r="A607" s="19">
        <f t="shared" si="9"/>
        <v>11.969999999999873</v>
      </c>
      <c r="B607" s="108">
        <f>A607*SQRT(1-EXP(-2*Sheet1!$M$103*Sheet1!$M$105/A607^2))</f>
        <v>10.750638212864464</v>
      </c>
    </row>
    <row r="608" spans="1:2">
      <c r="A608" s="19">
        <f t="shared" si="9"/>
        <v>11.979999999999873</v>
      </c>
      <c r="B608" s="108">
        <f>A608*SQRT(1-EXP(-2*Sheet1!$M$103*Sheet1!$M$105/A608^2))</f>
        <v>10.756077907597623</v>
      </c>
    </row>
    <row r="609" spans="1:2">
      <c r="A609" s="19">
        <f t="shared" si="9"/>
        <v>11.989999999999872</v>
      </c>
      <c r="B609" s="108">
        <f>A609*SQRT(1-EXP(-2*Sheet1!$M$103*Sheet1!$M$105/A609^2))</f>
        <v>10.761509690565029</v>
      </c>
    </row>
    <row r="610" spans="1:2">
      <c r="A610" s="19">
        <f t="shared" si="9"/>
        <v>11.999999999999872</v>
      </c>
      <c r="B610" s="108">
        <f>A610*SQRT(1-EXP(-2*Sheet1!$M$103*Sheet1!$M$105/A610^2))</f>
        <v>10.766933571491757</v>
      </c>
    </row>
    <row r="611" spans="1:2">
      <c r="A611" s="19">
        <f t="shared" si="9"/>
        <v>12.009999999999872</v>
      </c>
      <c r="B611" s="108">
        <f>A611*SQRT(1-EXP(-2*Sheet1!$M$103*Sheet1!$M$105/A611^2))</f>
        <v>10.772349560113206</v>
      </c>
    </row>
    <row r="612" spans="1:2">
      <c r="A612" s="19">
        <f t="shared" si="9"/>
        <v>12.019999999999872</v>
      </c>
      <c r="B612" s="108">
        <f>A612*SQRT(1-EXP(-2*Sheet1!$M$103*Sheet1!$M$105/A612^2))</f>
        <v>10.777757666174915</v>
      </c>
    </row>
    <row r="613" spans="1:2">
      <c r="A613" s="19">
        <f t="shared" si="9"/>
        <v>12.029999999999871</v>
      </c>
      <c r="B613" s="108">
        <f>A613*SQRT(1-EXP(-2*Sheet1!$M$103*Sheet1!$M$105/A613^2))</f>
        <v>10.783157899432377</v>
      </c>
    </row>
    <row r="614" spans="1:2">
      <c r="A614" s="19">
        <f t="shared" si="9"/>
        <v>12.039999999999871</v>
      </c>
      <c r="B614" s="108">
        <f>A614*SQRT(1-EXP(-2*Sheet1!$M$103*Sheet1!$M$105/A614^2))</f>
        <v>10.788550269650839</v>
      </c>
    </row>
    <row r="615" spans="1:2">
      <c r="A615" s="19">
        <f t="shared" si="9"/>
        <v>12.049999999999871</v>
      </c>
      <c r="B615" s="108">
        <f>A615*SQRT(1-EXP(-2*Sheet1!$M$103*Sheet1!$M$105/A615^2))</f>
        <v>10.793934786605138</v>
      </c>
    </row>
    <row r="616" spans="1:2">
      <c r="A616" s="19">
        <f t="shared" si="9"/>
        <v>12.059999999999871</v>
      </c>
      <c r="B616" s="108">
        <f>A616*SQRT(1-EXP(-2*Sheet1!$M$103*Sheet1!$M$105/A616^2))</f>
        <v>10.799311460079496</v>
      </c>
    </row>
    <row r="617" spans="1:2">
      <c r="A617" s="19">
        <f t="shared" si="9"/>
        <v>12.069999999999871</v>
      </c>
      <c r="B617" s="108">
        <f>A617*SQRT(1-EXP(-2*Sheet1!$M$103*Sheet1!$M$105/A617^2))</f>
        <v>10.804680299867359</v>
      </c>
    </row>
    <row r="618" spans="1:2">
      <c r="A618" s="19">
        <f t="shared" si="9"/>
        <v>12.07999999999987</v>
      </c>
      <c r="B618" s="108">
        <f>A618*SQRT(1-EXP(-2*Sheet1!$M$103*Sheet1!$M$105/A618^2))</f>
        <v>10.810041315771196</v>
      </c>
    </row>
    <row r="619" spans="1:2">
      <c r="A619" s="19">
        <f t="shared" si="9"/>
        <v>12.08999999999987</v>
      </c>
      <c r="B619" s="108">
        <f>A619*SQRT(1-EXP(-2*Sheet1!$M$103*Sheet1!$M$105/A619^2))</f>
        <v>10.815394517602329</v>
      </c>
    </row>
    <row r="620" spans="1:2">
      <c r="A620" s="19">
        <f t="shared" si="9"/>
        <v>12.09999999999987</v>
      </c>
      <c r="B620" s="108">
        <f>A620*SQRT(1-EXP(-2*Sheet1!$M$103*Sheet1!$M$105/A620^2))</f>
        <v>10.820739915180749</v>
      </c>
    </row>
    <row r="621" spans="1:2">
      <c r="A621" s="19">
        <f t="shared" si="9"/>
        <v>12.10999999999987</v>
      </c>
      <c r="B621" s="108">
        <f>A621*SQRT(1-EXP(-2*Sheet1!$M$103*Sheet1!$M$105/A621^2))</f>
        <v>10.826077518334946</v>
      </c>
    </row>
    <row r="622" spans="1:2">
      <c r="A622" s="19">
        <f t="shared" si="9"/>
        <v>12.11999999999987</v>
      </c>
      <c r="B622" s="108">
        <f>A622*SQRT(1-EXP(-2*Sheet1!$M$103*Sheet1!$M$105/A622^2))</f>
        <v>10.831407336901723</v>
      </c>
    </row>
    <row r="623" spans="1:2">
      <c r="A623" s="19">
        <f t="shared" si="9"/>
        <v>12.129999999999869</v>
      </c>
      <c r="B623" s="108">
        <f>A623*SQRT(1-EXP(-2*Sheet1!$M$103*Sheet1!$M$105/A623^2))</f>
        <v>10.836729380726025</v>
      </c>
    </row>
    <row r="624" spans="1:2">
      <c r="A624" s="19">
        <f t="shared" si="9"/>
        <v>12.139999999999869</v>
      </c>
      <c r="B624" s="108">
        <f>A624*SQRT(1-EXP(-2*Sheet1!$M$103*Sheet1!$M$105/A624^2))</f>
        <v>10.842043659660765</v>
      </c>
    </row>
    <row r="625" spans="1:2">
      <c r="A625" s="19">
        <f t="shared" si="9"/>
        <v>12.149999999999869</v>
      </c>
      <c r="B625" s="108">
        <f>A625*SQRT(1-EXP(-2*Sheet1!$M$103*Sheet1!$M$105/A625^2))</f>
        <v>10.847350183566647</v>
      </c>
    </row>
    <row r="626" spans="1:2">
      <c r="A626" s="19">
        <f t="shared" si="9"/>
        <v>12.159999999999869</v>
      </c>
      <c r="B626" s="108">
        <f>A626*SQRT(1-EXP(-2*Sheet1!$M$103*Sheet1!$M$105/A626^2))</f>
        <v>10.852648962311994</v>
      </c>
    </row>
    <row r="627" spans="1:2">
      <c r="A627" s="19">
        <f t="shared" si="9"/>
        <v>12.169999999999868</v>
      </c>
      <c r="B627" s="108">
        <f>A627*SQRT(1-EXP(-2*Sheet1!$M$103*Sheet1!$M$105/A627^2))</f>
        <v>10.857940005772585</v>
      </c>
    </row>
    <row r="628" spans="1:2">
      <c r="A628" s="19">
        <f t="shared" si="9"/>
        <v>12.179999999999868</v>
      </c>
      <c r="B628" s="108">
        <f>A628*SQRT(1-EXP(-2*Sheet1!$M$103*Sheet1!$M$105/A628^2))</f>
        <v>10.863223323831475</v>
      </c>
    </row>
    <row r="629" spans="1:2">
      <c r="A629" s="19">
        <f t="shared" si="9"/>
        <v>12.189999999999868</v>
      </c>
      <c r="B629" s="108">
        <f>A629*SQRT(1-EXP(-2*Sheet1!$M$103*Sheet1!$M$105/A629^2))</f>
        <v>10.868498926378832</v>
      </c>
    </row>
    <row r="630" spans="1:2">
      <c r="A630" s="19">
        <f t="shared" si="9"/>
        <v>12.199999999999868</v>
      </c>
      <c r="B630" s="108">
        <f>A630*SQRT(1-EXP(-2*Sheet1!$M$103*Sheet1!$M$105/A630^2))</f>
        <v>10.873766823311762</v>
      </c>
    </row>
    <row r="631" spans="1:2">
      <c r="A631" s="19">
        <f t="shared" si="9"/>
        <v>12.209999999999868</v>
      </c>
      <c r="B631" s="108">
        <f>A631*SQRT(1-EXP(-2*Sheet1!$M$103*Sheet1!$M$105/A631^2))</f>
        <v>10.879027024534155</v>
      </c>
    </row>
    <row r="632" spans="1:2">
      <c r="A632" s="19">
        <f t="shared" si="9"/>
        <v>12.219999999999867</v>
      </c>
      <c r="B632" s="108">
        <f>A632*SQRT(1-EXP(-2*Sheet1!$M$103*Sheet1!$M$105/A632^2))</f>
        <v>10.884279539956509</v>
      </c>
    </row>
    <row r="633" spans="1:2">
      <c r="A633" s="19">
        <f t="shared" si="9"/>
        <v>12.229999999999867</v>
      </c>
      <c r="B633" s="108">
        <f>A633*SQRT(1-EXP(-2*Sheet1!$M$103*Sheet1!$M$105/A633^2))</f>
        <v>10.889524379495766</v>
      </c>
    </row>
    <row r="634" spans="1:2">
      <c r="A634" s="19">
        <f t="shared" si="9"/>
        <v>12.239999999999867</v>
      </c>
      <c r="B634" s="108">
        <f>A634*SQRT(1-EXP(-2*Sheet1!$M$103*Sheet1!$M$105/A634^2))</f>
        <v>10.894761553075158</v>
      </c>
    </row>
    <row r="635" spans="1:2">
      <c r="A635" s="19">
        <f t="shared" si="9"/>
        <v>12.249999999999867</v>
      </c>
      <c r="B635" s="108">
        <f>A635*SQRT(1-EXP(-2*Sheet1!$M$103*Sheet1!$M$105/A635^2))</f>
        <v>10.899991070624035</v>
      </c>
    </row>
    <row r="636" spans="1:2">
      <c r="A636" s="19">
        <f t="shared" si="9"/>
        <v>12.259999999999867</v>
      </c>
      <c r="B636" s="108">
        <f>A636*SQRT(1-EXP(-2*Sheet1!$M$103*Sheet1!$M$105/A636^2))</f>
        <v>10.905212942077704</v>
      </c>
    </row>
    <row r="637" spans="1:2">
      <c r="A637" s="19">
        <f t="shared" si="9"/>
        <v>12.269999999999866</v>
      </c>
      <c r="B637" s="108">
        <f>A637*SQRT(1-EXP(-2*Sheet1!$M$103*Sheet1!$M$105/A637^2))</f>
        <v>10.910427177377278</v>
      </c>
    </row>
    <row r="638" spans="1:2">
      <c r="A638" s="19">
        <f t="shared" si="9"/>
        <v>12.279999999999866</v>
      </c>
      <c r="B638" s="108">
        <f>A638*SQRT(1-EXP(-2*Sheet1!$M$103*Sheet1!$M$105/A638^2))</f>
        <v>10.915633786469511</v>
      </c>
    </row>
    <row r="639" spans="1:2">
      <c r="A639" s="19">
        <f t="shared" si="9"/>
        <v>12.289999999999866</v>
      </c>
      <c r="B639" s="108">
        <f>A639*SQRT(1-EXP(-2*Sheet1!$M$103*Sheet1!$M$105/A639^2))</f>
        <v>10.920832779306634</v>
      </c>
    </row>
    <row r="640" spans="1:2">
      <c r="A640" s="19">
        <f t="shared" si="9"/>
        <v>12.299999999999866</v>
      </c>
      <c r="B640" s="108">
        <f>A640*SQRT(1-EXP(-2*Sheet1!$M$103*Sheet1!$M$105/A640^2))</f>
        <v>10.926024165846211</v>
      </c>
    </row>
    <row r="641" spans="1:2">
      <c r="A641" s="19">
        <f t="shared" si="9"/>
        <v>12.309999999999865</v>
      </c>
      <c r="B641" s="108">
        <f>A641*SQRT(1-EXP(-2*Sheet1!$M$103*Sheet1!$M$105/A641^2))</f>
        <v>10.931207956050976</v>
      </c>
    </row>
    <row r="642" spans="1:2">
      <c r="A642" s="19">
        <f t="shared" si="9"/>
        <v>12.319999999999865</v>
      </c>
      <c r="B642" s="108">
        <f>A642*SQRT(1-EXP(-2*Sheet1!$M$103*Sheet1!$M$105/A642^2))</f>
        <v>10.93638415988868</v>
      </c>
    </row>
    <row r="643" spans="1:2">
      <c r="A643" s="19">
        <f t="shared" si="9"/>
        <v>12.329999999999865</v>
      </c>
      <c r="B643" s="108">
        <f>A643*SQRT(1-EXP(-2*Sheet1!$M$103*Sheet1!$M$105/A643^2))</f>
        <v>10.941552787331934</v>
      </c>
    </row>
    <row r="644" spans="1:2">
      <c r="A644" s="19">
        <f t="shared" si="9"/>
        <v>12.339999999999865</v>
      </c>
      <c r="B644" s="108">
        <f>A644*SQRT(1-EXP(-2*Sheet1!$M$103*Sheet1!$M$105/A644^2))</f>
        <v>10.946713848358062</v>
      </c>
    </row>
    <row r="645" spans="1:2">
      <c r="A645" s="19">
        <f t="shared" si="9"/>
        <v>12.349999999999865</v>
      </c>
      <c r="B645" s="108">
        <f>A645*SQRT(1-EXP(-2*Sheet1!$M$103*Sheet1!$M$105/A645^2))</f>
        <v>10.951867352948943</v>
      </c>
    </row>
    <row r="646" spans="1:2">
      <c r="A646" s="19">
        <f t="shared" si="9"/>
        <v>12.359999999999864</v>
      </c>
      <c r="B646" s="108">
        <f>A646*SQRT(1-EXP(-2*Sheet1!$M$103*Sheet1!$M$105/A646^2))</f>
        <v>10.95701331109087</v>
      </c>
    </row>
    <row r="647" spans="1:2">
      <c r="A647" s="19">
        <f t="shared" si="9"/>
        <v>12.369999999999864</v>
      </c>
      <c r="B647" s="108">
        <f>A647*SQRT(1-EXP(-2*Sheet1!$M$103*Sheet1!$M$105/A647^2))</f>
        <v>10.962151732774393</v>
      </c>
    </row>
    <row r="648" spans="1:2">
      <c r="A648" s="19">
        <f t="shared" si="9"/>
        <v>12.379999999999864</v>
      </c>
      <c r="B648" s="108">
        <f>A648*SQRT(1-EXP(-2*Sheet1!$M$103*Sheet1!$M$105/A648^2))</f>
        <v>10.967282627994168</v>
      </c>
    </row>
    <row r="649" spans="1:2">
      <c r="A649" s="19">
        <f t="shared" si="9"/>
        <v>12.389999999999864</v>
      </c>
      <c r="B649" s="108">
        <f>A649*SQRT(1-EXP(-2*Sheet1!$M$103*Sheet1!$M$105/A649^2))</f>
        <v>10.972406006748821</v>
      </c>
    </row>
    <row r="650" spans="1:2">
      <c r="A650" s="19">
        <f t="shared" si="9"/>
        <v>12.399999999999864</v>
      </c>
      <c r="B650" s="108">
        <f>A650*SQRT(1-EXP(-2*Sheet1!$M$103*Sheet1!$M$105/A650^2))</f>
        <v>10.977521879040792</v>
      </c>
    </row>
    <row r="651" spans="1:2">
      <c r="A651" s="19">
        <f t="shared" si="9"/>
        <v>12.409999999999863</v>
      </c>
      <c r="B651" s="108">
        <f>A651*SQRT(1-EXP(-2*Sheet1!$M$103*Sheet1!$M$105/A651^2))</f>
        <v>10.98263025487619</v>
      </c>
    </row>
    <row r="652" spans="1:2">
      <c r="A652" s="19">
        <f t="shared" ref="A652:A715" si="10">A651+$B$7</f>
        <v>12.419999999999863</v>
      </c>
      <c r="B652" s="108">
        <f>A652*SQRT(1-EXP(-2*Sheet1!$M$103*Sheet1!$M$105/A652^2))</f>
        <v>10.987731144264657</v>
      </c>
    </row>
    <row r="653" spans="1:2">
      <c r="A653" s="19">
        <f t="shared" si="10"/>
        <v>12.429999999999863</v>
      </c>
      <c r="B653" s="108">
        <f>A653*SQRT(1-EXP(-2*Sheet1!$M$103*Sheet1!$M$105/A653^2))</f>
        <v>10.992824557219214</v>
      </c>
    </row>
    <row r="654" spans="1:2">
      <c r="A654" s="19">
        <f t="shared" si="10"/>
        <v>12.439999999999863</v>
      </c>
      <c r="B654" s="108">
        <f>A654*SQRT(1-EXP(-2*Sheet1!$M$103*Sheet1!$M$105/A654^2))</f>
        <v>10.997910503756126</v>
      </c>
    </row>
    <row r="655" spans="1:2">
      <c r="A655" s="19">
        <f t="shared" si="10"/>
        <v>12.449999999999863</v>
      </c>
      <c r="B655" s="108">
        <f>A655*SQRT(1-EXP(-2*Sheet1!$M$103*Sheet1!$M$105/A655^2))</f>
        <v>11.00298899389476</v>
      </c>
    </row>
    <row r="656" spans="1:2">
      <c r="A656" s="19">
        <f t="shared" si="10"/>
        <v>12.459999999999862</v>
      </c>
      <c r="B656" s="108">
        <f>A656*SQRT(1-EXP(-2*Sheet1!$M$103*Sheet1!$M$105/A656^2))</f>
        <v>11.008060037657442</v>
      </c>
    </row>
    <row r="657" spans="1:2">
      <c r="A657" s="19">
        <f t="shared" si="10"/>
        <v>12.469999999999862</v>
      </c>
      <c r="B657" s="108">
        <f>A657*SQRT(1-EXP(-2*Sheet1!$M$103*Sheet1!$M$105/A657^2))</f>
        <v>11.013123645069316</v>
      </c>
    </row>
    <row r="658" spans="1:2">
      <c r="A658" s="19">
        <f t="shared" si="10"/>
        <v>12.479999999999862</v>
      </c>
      <c r="B658" s="108">
        <f>A658*SQRT(1-EXP(-2*Sheet1!$M$103*Sheet1!$M$105/A658^2))</f>
        <v>11.018179826158214</v>
      </c>
    </row>
    <row r="659" spans="1:2">
      <c r="A659" s="19">
        <f t="shared" si="10"/>
        <v>12.489999999999862</v>
      </c>
      <c r="B659" s="108">
        <f>A659*SQRT(1-EXP(-2*Sheet1!$M$103*Sheet1!$M$105/A659^2))</f>
        <v>11.023228590954508</v>
      </c>
    </row>
    <row r="660" spans="1:2">
      <c r="A660" s="19">
        <f t="shared" si="10"/>
        <v>12.499999999999861</v>
      </c>
      <c r="B660" s="108">
        <f>A660*SQRT(1-EXP(-2*Sheet1!$M$103*Sheet1!$M$105/A660^2))</f>
        <v>11.028269949490983</v>
      </c>
    </row>
    <row r="661" spans="1:2">
      <c r="A661" s="19">
        <f t="shared" si="10"/>
        <v>12.509999999999861</v>
      </c>
      <c r="B661" s="108">
        <f>A661*SQRT(1-EXP(-2*Sheet1!$M$103*Sheet1!$M$105/A661^2))</f>
        <v>11.033303911802699</v>
      </c>
    </row>
    <row r="662" spans="1:2">
      <c r="A662" s="19">
        <f t="shared" si="10"/>
        <v>12.519999999999861</v>
      </c>
      <c r="B662" s="108">
        <f>A662*SQRT(1-EXP(-2*Sheet1!$M$103*Sheet1!$M$105/A662^2))</f>
        <v>11.038330487926849</v>
      </c>
    </row>
    <row r="663" spans="1:2">
      <c r="A663" s="19">
        <f t="shared" si="10"/>
        <v>12.529999999999861</v>
      </c>
      <c r="B663" s="108">
        <f>A663*SQRT(1-EXP(-2*Sheet1!$M$103*Sheet1!$M$105/A663^2))</f>
        <v>11.043349687902637</v>
      </c>
    </row>
    <row r="664" spans="1:2">
      <c r="A664" s="19">
        <f t="shared" si="10"/>
        <v>12.539999999999861</v>
      </c>
      <c r="B664" s="108">
        <f>A664*SQRT(1-EXP(-2*Sheet1!$M$103*Sheet1!$M$105/A664^2))</f>
        <v>11.048361521771142</v>
      </c>
    </row>
    <row r="665" spans="1:2">
      <c r="A665" s="19">
        <f t="shared" si="10"/>
        <v>12.54999999999986</v>
      </c>
      <c r="B665" s="108">
        <f>A665*SQRT(1-EXP(-2*Sheet1!$M$103*Sheet1!$M$105/A665^2))</f>
        <v>11.053365999575174</v>
      </c>
    </row>
    <row r="666" spans="1:2">
      <c r="A666" s="19">
        <f t="shared" si="10"/>
        <v>12.55999999999986</v>
      </c>
      <c r="B666" s="108">
        <f>A666*SQRT(1-EXP(-2*Sheet1!$M$103*Sheet1!$M$105/A666^2))</f>
        <v>11.058363131359171</v>
      </c>
    </row>
    <row r="667" spans="1:2">
      <c r="A667" s="19">
        <f t="shared" si="10"/>
        <v>12.56999999999986</v>
      </c>
      <c r="B667" s="108">
        <f>A667*SQRT(1-EXP(-2*Sheet1!$M$103*Sheet1!$M$105/A667^2))</f>
        <v>11.063352927169037</v>
      </c>
    </row>
    <row r="668" spans="1:2">
      <c r="A668" s="19">
        <f t="shared" si="10"/>
        <v>12.57999999999986</v>
      </c>
      <c r="B668" s="108">
        <f>A668*SQRT(1-EXP(-2*Sheet1!$M$103*Sheet1!$M$105/A668^2))</f>
        <v>11.068335397052037</v>
      </c>
    </row>
    <row r="669" spans="1:2">
      <c r="A669" s="19">
        <f t="shared" si="10"/>
        <v>12.58999999999986</v>
      </c>
      <c r="B669" s="108">
        <f>A669*SQRT(1-EXP(-2*Sheet1!$M$103*Sheet1!$M$105/A669^2))</f>
        <v>11.073310551056659</v>
      </c>
    </row>
    <row r="670" spans="1:2">
      <c r="A670" s="19">
        <f t="shared" si="10"/>
        <v>12.599999999999859</v>
      </c>
      <c r="B670" s="108">
        <f>A670*SQRT(1-EXP(-2*Sheet1!$M$103*Sheet1!$M$105/A670^2))</f>
        <v>11.07827839923249</v>
      </c>
    </row>
    <row r="671" spans="1:2">
      <c r="A671" s="19">
        <f t="shared" si="10"/>
        <v>12.609999999999859</v>
      </c>
      <c r="B671" s="108">
        <f>A671*SQRT(1-EXP(-2*Sheet1!$M$103*Sheet1!$M$105/A671^2))</f>
        <v>11.08323895163009</v>
      </c>
    </row>
    <row r="672" spans="1:2">
      <c r="A672" s="19">
        <f t="shared" si="10"/>
        <v>12.619999999999859</v>
      </c>
      <c r="B672" s="108">
        <f>A672*SQRT(1-EXP(-2*Sheet1!$M$103*Sheet1!$M$105/A672^2))</f>
        <v>11.088192218300865</v>
      </c>
    </row>
    <row r="673" spans="1:2">
      <c r="A673" s="19">
        <f t="shared" si="10"/>
        <v>12.629999999999859</v>
      </c>
      <c r="B673" s="108">
        <f>A673*SQRT(1-EXP(-2*Sheet1!$M$103*Sheet1!$M$105/A673^2))</f>
        <v>11.093138209296942</v>
      </c>
    </row>
    <row r="674" spans="1:2">
      <c r="A674" s="19">
        <f t="shared" si="10"/>
        <v>12.639999999999858</v>
      </c>
      <c r="B674" s="108">
        <f>A674*SQRT(1-EXP(-2*Sheet1!$M$103*Sheet1!$M$105/A674^2))</f>
        <v>11.098076934671052</v>
      </c>
    </row>
    <row r="675" spans="1:2">
      <c r="A675" s="19">
        <f t="shared" si="10"/>
        <v>12.649999999999858</v>
      </c>
      <c r="B675" s="108">
        <f>A675*SQRT(1-EXP(-2*Sheet1!$M$103*Sheet1!$M$105/A675^2))</f>
        <v>11.103008404476405</v>
      </c>
    </row>
    <row r="676" spans="1:2">
      <c r="A676" s="19">
        <f t="shared" si="10"/>
        <v>12.659999999999858</v>
      </c>
      <c r="B676" s="108">
        <f>A676*SQRT(1-EXP(-2*Sheet1!$M$103*Sheet1!$M$105/A676^2))</f>
        <v>11.107932628766561</v>
      </c>
    </row>
    <row r="677" spans="1:2">
      <c r="A677" s="19">
        <f t="shared" si="10"/>
        <v>12.669999999999858</v>
      </c>
      <c r="B677" s="108">
        <f>A677*SQRT(1-EXP(-2*Sheet1!$M$103*Sheet1!$M$105/A677^2))</f>
        <v>11.112849617595321</v>
      </c>
    </row>
    <row r="678" spans="1:2">
      <c r="A678" s="19">
        <f t="shared" si="10"/>
        <v>12.679999999999858</v>
      </c>
      <c r="B678" s="108">
        <f>A678*SQRT(1-EXP(-2*Sheet1!$M$103*Sheet1!$M$105/A678^2))</f>
        <v>11.117759381016601</v>
      </c>
    </row>
    <row r="679" spans="1:2">
      <c r="A679" s="19">
        <f t="shared" si="10"/>
        <v>12.689999999999857</v>
      </c>
      <c r="B679" s="108">
        <f>A679*SQRT(1-EXP(-2*Sheet1!$M$103*Sheet1!$M$105/A679^2))</f>
        <v>11.122661929084316</v>
      </c>
    </row>
    <row r="680" spans="1:2">
      <c r="A680" s="19">
        <f t="shared" si="10"/>
        <v>12.699999999999857</v>
      </c>
      <c r="B680" s="108">
        <f>A680*SQRT(1-EXP(-2*Sheet1!$M$103*Sheet1!$M$105/A680^2))</f>
        <v>11.127557271852258</v>
      </c>
    </row>
    <row r="681" spans="1:2">
      <c r="A681" s="19">
        <f t="shared" si="10"/>
        <v>12.709999999999857</v>
      </c>
      <c r="B681" s="108">
        <f>A681*SQRT(1-EXP(-2*Sheet1!$M$103*Sheet1!$M$105/A681^2))</f>
        <v>11.132445419373983</v>
      </c>
    </row>
    <row r="682" spans="1:2">
      <c r="A682" s="19">
        <f t="shared" si="10"/>
        <v>12.719999999999857</v>
      </c>
      <c r="B682" s="108">
        <f>A682*SQRT(1-EXP(-2*Sheet1!$M$103*Sheet1!$M$105/A682^2))</f>
        <v>11.137326381702698</v>
      </c>
    </row>
    <row r="683" spans="1:2">
      <c r="A683" s="19">
        <f t="shared" si="10"/>
        <v>12.729999999999857</v>
      </c>
      <c r="B683" s="108">
        <f>A683*SQRT(1-EXP(-2*Sheet1!$M$103*Sheet1!$M$105/A683^2))</f>
        <v>11.142200168891135</v>
      </c>
    </row>
    <row r="684" spans="1:2">
      <c r="A684" s="19">
        <f t="shared" si="10"/>
        <v>12.739999999999856</v>
      </c>
      <c r="B684" s="108">
        <f>A684*SQRT(1-EXP(-2*Sheet1!$M$103*Sheet1!$M$105/A684^2))</f>
        <v>11.147066790991447</v>
      </c>
    </row>
    <row r="685" spans="1:2">
      <c r="A685" s="19">
        <f t="shared" si="10"/>
        <v>12.749999999999856</v>
      </c>
      <c r="B685" s="108">
        <f>A685*SQRT(1-EXP(-2*Sheet1!$M$103*Sheet1!$M$105/A685^2))</f>
        <v>11.151926258055092</v>
      </c>
    </row>
    <row r="686" spans="1:2">
      <c r="A686" s="19">
        <f t="shared" si="10"/>
        <v>12.759999999999856</v>
      </c>
      <c r="B686" s="108">
        <f>A686*SQRT(1-EXP(-2*Sheet1!$M$103*Sheet1!$M$105/A686^2))</f>
        <v>11.156778580132716</v>
      </c>
    </row>
    <row r="687" spans="1:2">
      <c r="A687" s="19">
        <f t="shared" si="10"/>
        <v>12.769999999999856</v>
      </c>
      <c r="B687" s="108">
        <f>A687*SQRT(1-EXP(-2*Sheet1!$M$103*Sheet1!$M$105/A687^2))</f>
        <v>11.161623767274047</v>
      </c>
    </row>
    <row r="688" spans="1:2">
      <c r="A688" s="19">
        <f t="shared" si="10"/>
        <v>12.779999999999855</v>
      </c>
      <c r="B688" s="108">
        <f>A688*SQRT(1-EXP(-2*Sheet1!$M$103*Sheet1!$M$105/A688^2))</f>
        <v>11.166461829527785</v>
      </c>
    </row>
    <row r="689" spans="1:2">
      <c r="A689" s="19">
        <f t="shared" si="10"/>
        <v>12.789999999999855</v>
      </c>
      <c r="B689" s="108">
        <f>A689*SQRT(1-EXP(-2*Sheet1!$M$103*Sheet1!$M$105/A689^2))</f>
        <v>11.171292776941479</v>
      </c>
    </row>
    <row r="690" spans="1:2">
      <c r="A690" s="19">
        <f t="shared" si="10"/>
        <v>12.799999999999855</v>
      </c>
      <c r="B690" s="108">
        <f>A690*SQRT(1-EXP(-2*Sheet1!$M$103*Sheet1!$M$105/A690^2))</f>
        <v>11.176116619561435</v>
      </c>
    </row>
    <row r="691" spans="1:2">
      <c r="A691" s="19">
        <f t="shared" si="10"/>
        <v>12.809999999999855</v>
      </c>
      <c r="B691" s="108">
        <f>A691*SQRT(1-EXP(-2*Sheet1!$M$103*Sheet1!$M$105/A691^2))</f>
        <v>11.180933367432598</v>
      </c>
    </row>
    <row r="692" spans="1:2">
      <c r="A692" s="19">
        <f t="shared" si="10"/>
        <v>12.819999999999855</v>
      </c>
      <c r="B692" s="108">
        <f>A692*SQRT(1-EXP(-2*Sheet1!$M$103*Sheet1!$M$105/A692^2))</f>
        <v>11.185743030598445</v>
      </c>
    </row>
    <row r="693" spans="1:2">
      <c r="A693" s="19">
        <f t="shared" si="10"/>
        <v>12.829999999999854</v>
      </c>
      <c r="B693" s="108">
        <f>A693*SQRT(1-EXP(-2*Sheet1!$M$103*Sheet1!$M$105/A693^2))</f>
        <v>11.190545619100885</v>
      </c>
    </row>
    <row r="694" spans="1:2">
      <c r="A694" s="19">
        <f t="shared" si="10"/>
        <v>12.839999999999854</v>
      </c>
      <c r="B694" s="108">
        <f>A694*SQRT(1-EXP(-2*Sheet1!$M$103*Sheet1!$M$105/A694^2))</f>
        <v>11.195341142980139</v>
      </c>
    </row>
    <row r="695" spans="1:2">
      <c r="A695" s="19">
        <f t="shared" si="10"/>
        <v>12.849999999999854</v>
      </c>
      <c r="B695" s="108">
        <f>A695*SQRT(1-EXP(-2*Sheet1!$M$103*Sheet1!$M$105/A695^2))</f>
        <v>11.200129612274651</v>
      </c>
    </row>
    <row r="696" spans="1:2">
      <c r="A696" s="19">
        <f t="shared" si="10"/>
        <v>12.859999999999854</v>
      </c>
      <c r="B696" s="108">
        <f>A696*SQRT(1-EXP(-2*Sheet1!$M$103*Sheet1!$M$105/A696^2))</f>
        <v>11.204911037020976</v>
      </c>
    </row>
    <row r="697" spans="1:2">
      <c r="A697" s="19">
        <f t="shared" si="10"/>
        <v>12.869999999999854</v>
      </c>
      <c r="B697" s="108">
        <f>A697*SQRT(1-EXP(-2*Sheet1!$M$103*Sheet1!$M$105/A697^2))</f>
        <v>11.209685427253671</v>
      </c>
    </row>
    <row r="698" spans="1:2">
      <c r="A698" s="19">
        <f t="shared" si="10"/>
        <v>12.879999999999853</v>
      </c>
      <c r="B698" s="108">
        <f>A698*SQRT(1-EXP(-2*Sheet1!$M$103*Sheet1!$M$105/A698^2))</f>
        <v>11.214452793005202</v>
      </c>
    </row>
    <row r="699" spans="1:2">
      <c r="A699" s="19">
        <f t="shared" si="10"/>
        <v>12.889999999999853</v>
      </c>
      <c r="B699" s="108">
        <f>A699*SQRT(1-EXP(-2*Sheet1!$M$103*Sheet1!$M$105/A699^2))</f>
        <v>11.21921314430584</v>
      </c>
    </row>
    <row r="700" spans="1:2">
      <c r="A700" s="19">
        <f t="shared" si="10"/>
        <v>12.899999999999853</v>
      </c>
      <c r="B700" s="108">
        <f>A700*SQRT(1-EXP(-2*Sheet1!$M$103*Sheet1!$M$105/A700^2))</f>
        <v>11.223966491183557</v>
      </c>
    </row>
    <row r="701" spans="1:2">
      <c r="A701" s="19">
        <f t="shared" si="10"/>
        <v>12.909999999999853</v>
      </c>
      <c r="B701" s="108">
        <f>A701*SQRT(1-EXP(-2*Sheet1!$M$103*Sheet1!$M$105/A701^2))</f>
        <v>11.228712843663923</v>
      </c>
    </row>
    <row r="702" spans="1:2">
      <c r="A702" s="19">
        <f t="shared" si="10"/>
        <v>12.919999999999852</v>
      </c>
      <c r="B702" s="108">
        <f>A702*SQRT(1-EXP(-2*Sheet1!$M$103*Sheet1!$M$105/A702^2))</f>
        <v>11.233452211770015</v>
      </c>
    </row>
    <row r="703" spans="1:2">
      <c r="A703" s="19">
        <f t="shared" si="10"/>
        <v>12.929999999999852</v>
      </c>
      <c r="B703" s="108">
        <f>A703*SQRT(1-EXP(-2*Sheet1!$M$103*Sheet1!$M$105/A703^2))</f>
        <v>11.238184605522314</v>
      </c>
    </row>
    <row r="704" spans="1:2">
      <c r="A704" s="19">
        <f t="shared" si="10"/>
        <v>12.939999999999852</v>
      </c>
      <c r="B704" s="108">
        <f>A704*SQRT(1-EXP(-2*Sheet1!$M$103*Sheet1!$M$105/A704^2))</f>
        <v>11.242910034938603</v>
      </c>
    </row>
    <row r="705" spans="1:2">
      <c r="A705" s="19">
        <f t="shared" si="10"/>
        <v>12.949999999999852</v>
      </c>
      <c r="B705" s="108">
        <f>A705*SQRT(1-EXP(-2*Sheet1!$M$103*Sheet1!$M$105/A705^2))</f>
        <v>11.247628510033877</v>
      </c>
    </row>
    <row r="706" spans="1:2">
      <c r="A706" s="19">
        <f t="shared" si="10"/>
        <v>12.959999999999852</v>
      </c>
      <c r="B706" s="108">
        <f>A706*SQRT(1-EXP(-2*Sheet1!$M$103*Sheet1!$M$105/A706^2))</f>
        <v>11.252340040820242</v>
      </c>
    </row>
    <row r="707" spans="1:2">
      <c r="A707" s="19">
        <f t="shared" si="10"/>
        <v>12.969999999999851</v>
      </c>
      <c r="B707" s="108">
        <f>A707*SQRT(1-EXP(-2*Sheet1!$M$103*Sheet1!$M$105/A707^2))</f>
        <v>11.257044637306818</v>
      </c>
    </row>
    <row r="708" spans="1:2">
      <c r="A708" s="19">
        <f t="shared" si="10"/>
        <v>12.979999999999851</v>
      </c>
      <c r="B708" s="108">
        <f>A708*SQRT(1-EXP(-2*Sheet1!$M$103*Sheet1!$M$105/A708^2))</f>
        <v>11.261742309499649</v>
      </c>
    </row>
    <row r="709" spans="1:2">
      <c r="A709" s="19">
        <f t="shared" si="10"/>
        <v>12.989999999999851</v>
      </c>
      <c r="B709" s="108">
        <f>A709*SQRT(1-EXP(-2*Sheet1!$M$103*Sheet1!$M$105/A709^2))</f>
        <v>11.266433067401609</v>
      </c>
    </row>
    <row r="710" spans="1:2">
      <c r="A710" s="19">
        <f t="shared" si="10"/>
        <v>12.999999999999851</v>
      </c>
      <c r="B710" s="108">
        <f>A710*SQRT(1-EXP(-2*Sheet1!$M$103*Sheet1!$M$105/A710^2))</f>
        <v>11.2711169210123</v>
      </c>
    </row>
    <row r="711" spans="1:2">
      <c r="A711" s="19">
        <f t="shared" si="10"/>
        <v>13.009999999999851</v>
      </c>
      <c r="B711" s="108">
        <f>A711*SQRT(1-EXP(-2*Sheet1!$M$103*Sheet1!$M$105/A711^2))</f>
        <v>11.275793880327974</v>
      </c>
    </row>
    <row r="712" spans="1:2">
      <c r="A712" s="19">
        <f t="shared" si="10"/>
        <v>13.01999999999985</v>
      </c>
      <c r="B712" s="108">
        <f>A712*SQRT(1-EXP(-2*Sheet1!$M$103*Sheet1!$M$105/A712^2))</f>
        <v>11.280463955341421</v>
      </c>
    </row>
    <row r="713" spans="1:2">
      <c r="A713" s="19">
        <f t="shared" si="10"/>
        <v>13.02999999999985</v>
      </c>
      <c r="B713" s="108">
        <f>A713*SQRT(1-EXP(-2*Sheet1!$M$103*Sheet1!$M$105/A713^2))</f>
        <v>11.285127156041899</v>
      </c>
    </row>
    <row r="714" spans="1:2">
      <c r="A714" s="19">
        <f t="shared" si="10"/>
        <v>13.03999999999985</v>
      </c>
      <c r="B714" s="108">
        <f>A714*SQRT(1-EXP(-2*Sheet1!$M$103*Sheet1!$M$105/A714^2))</f>
        <v>11.289783492415031</v>
      </c>
    </row>
    <row r="715" spans="1:2">
      <c r="A715" s="19">
        <f t="shared" si="10"/>
        <v>13.04999999999985</v>
      </c>
      <c r="B715" s="108">
        <f>A715*SQRT(1-EXP(-2*Sheet1!$M$103*Sheet1!$M$105/A715^2))</f>
        <v>11.294432974442717</v>
      </c>
    </row>
    <row r="716" spans="1:2">
      <c r="A716" s="19">
        <f t="shared" ref="A716:A779" si="11">A715+$B$7</f>
        <v>13.05999999999985</v>
      </c>
      <c r="B716" s="108">
        <f>A716*SQRT(1-EXP(-2*Sheet1!$M$103*Sheet1!$M$105/A716^2))</f>
        <v>11.299075612103049</v>
      </c>
    </row>
    <row r="717" spans="1:2">
      <c r="A717" s="19">
        <f t="shared" si="11"/>
        <v>13.069999999999849</v>
      </c>
      <c r="B717" s="108">
        <f>A717*SQRT(1-EXP(-2*Sheet1!$M$103*Sheet1!$M$105/A717^2))</f>
        <v>11.303711415370218</v>
      </c>
    </row>
    <row r="718" spans="1:2">
      <c r="A718" s="19">
        <f t="shared" si="11"/>
        <v>13.079999999999849</v>
      </c>
      <c r="B718" s="108">
        <f>A718*SQRT(1-EXP(-2*Sheet1!$M$103*Sheet1!$M$105/A718^2))</f>
        <v>11.308340394214429</v>
      </c>
    </row>
    <row r="719" spans="1:2">
      <c r="A719" s="19">
        <f t="shared" si="11"/>
        <v>13.089999999999849</v>
      </c>
      <c r="B719" s="108">
        <f>A719*SQRT(1-EXP(-2*Sheet1!$M$103*Sheet1!$M$105/A719^2))</f>
        <v>11.312962558601816</v>
      </c>
    </row>
    <row r="720" spans="1:2">
      <c r="A720" s="19">
        <f t="shared" si="11"/>
        <v>13.099999999999849</v>
      </c>
      <c r="B720" s="108">
        <f>A720*SQRT(1-EXP(-2*Sheet1!$M$103*Sheet1!$M$105/A720^2))</f>
        <v>11.317577918494349</v>
      </c>
    </row>
    <row r="721" spans="1:2">
      <c r="A721" s="19">
        <f t="shared" si="11"/>
        <v>13.109999999999848</v>
      </c>
      <c r="B721" s="108">
        <f>A721*SQRT(1-EXP(-2*Sheet1!$M$103*Sheet1!$M$105/A721^2))</f>
        <v>11.322186483849759</v>
      </c>
    </row>
    <row r="722" spans="1:2">
      <c r="A722" s="19">
        <f t="shared" si="11"/>
        <v>13.119999999999848</v>
      </c>
      <c r="B722" s="108">
        <f>A722*SQRT(1-EXP(-2*Sheet1!$M$103*Sheet1!$M$105/A722^2))</f>
        <v>11.326788264621444</v>
      </c>
    </row>
    <row r="723" spans="1:2">
      <c r="A723" s="19">
        <f t="shared" si="11"/>
        <v>13.129999999999848</v>
      </c>
      <c r="B723" s="108">
        <f>A723*SQRT(1-EXP(-2*Sheet1!$M$103*Sheet1!$M$105/A723^2))</f>
        <v>11.331383270758389</v>
      </c>
    </row>
    <row r="724" spans="1:2">
      <c r="A724" s="19">
        <f t="shared" si="11"/>
        <v>13.139999999999848</v>
      </c>
      <c r="B724" s="108">
        <f>A724*SQRT(1-EXP(-2*Sheet1!$M$103*Sheet1!$M$105/A724^2))</f>
        <v>11.335971512205088</v>
      </c>
    </row>
    <row r="725" spans="1:2">
      <c r="A725" s="19">
        <f t="shared" si="11"/>
        <v>13.149999999999848</v>
      </c>
      <c r="B725" s="108">
        <f>A725*SQRT(1-EXP(-2*Sheet1!$M$103*Sheet1!$M$105/A725^2))</f>
        <v>11.340552998901446</v>
      </c>
    </row>
    <row r="726" spans="1:2">
      <c r="A726" s="19">
        <f t="shared" si="11"/>
        <v>13.159999999999847</v>
      </c>
      <c r="B726" s="108">
        <f>A726*SQRT(1-EXP(-2*Sheet1!$M$103*Sheet1!$M$105/A726^2))</f>
        <v>11.345127740782715</v>
      </c>
    </row>
    <row r="727" spans="1:2">
      <c r="A727" s="19">
        <f t="shared" si="11"/>
        <v>13.169999999999847</v>
      </c>
      <c r="B727" s="108">
        <f>A727*SQRT(1-EXP(-2*Sheet1!$M$103*Sheet1!$M$105/A727^2))</f>
        <v>11.349695747779402</v>
      </c>
    </row>
    <row r="728" spans="1:2">
      <c r="A728" s="19">
        <f t="shared" si="11"/>
        <v>13.179999999999847</v>
      </c>
      <c r="B728" s="108">
        <f>A728*SQRT(1-EXP(-2*Sheet1!$M$103*Sheet1!$M$105/A728^2))</f>
        <v>11.354257029817189</v>
      </c>
    </row>
    <row r="729" spans="1:2">
      <c r="A729" s="19">
        <f t="shared" si="11"/>
        <v>13.189999999999847</v>
      </c>
      <c r="B729" s="108">
        <f>A729*SQRT(1-EXP(-2*Sheet1!$M$103*Sheet1!$M$105/A729^2))</f>
        <v>11.358811596816862</v>
      </c>
    </row>
    <row r="730" spans="1:2">
      <c r="A730" s="19">
        <f t="shared" si="11"/>
        <v>13.199999999999847</v>
      </c>
      <c r="B730" s="108">
        <f>A730*SQRT(1-EXP(-2*Sheet1!$M$103*Sheet1!$M$105/A730^2))</f>
        <v>11.363359458694219</v>
      </c>
    </row>
    <row r="731" spans="1:2">
      <c r="A731" s="19">
        <f t="shared" si="11"/>
        <v>13.209999999999846</v>
      </c>
      <c r="B731" s="108">
        <f>A731*SQRT(1-EXP(-2*Sheet1!$M$103*Sheet1!$M$105/A731^2))</f>
        <v>11.367900625360003</v>
      </c>
    </row>
    <row r="732" spans="1:2">
      <c r="A732" s="19">
        <f t="shared" si="11"/>
        <v>13.219999999999846</v>
      </c>
      <c r="B732" s="108">
        <f>A732*SQRT(1-EXP(-2*Sheet1!$M$103*Sheet1!$M$105/A732^2))</f>
        <v>11.372435106719809</v>
      </c>
    </row>
    <row r="733" spans="1:2">
      <c r="A733" s="19">
        <f t="shared" si="11"/>
        <v>13.229999999999846</v>
      </c>
      <c r="B733" s="108">
        <f>A733*SQRT(1-EXP(-2*Sheet1!$M$103*Sheet1!$M$105/A733^2))</f>
        <v>11.376962912674028</v>
      </c>
    </row>
    <row r="734" spans="1:2">
      <c r="A734" s="19">
        <f t="shared" si="11"/>
        <v>13.239999999999846</v>
      </c>
      <c r="B734" s="108">
        <f>A734*SQRT(1-EXP(-2*Sheet1!$M$103*Sheet1!$M$105/A734^2))</f>
        <v>11.381484053117754</v>
      </c>
    </row>
    <row r="735" spans="1:2">
      <c r="A735" s="19">
        <f t="shared" si="11"/>
        <v>13.249999999999845</v>
      </c>
      <c r="B735" s="108">
        <f>A735*SQRT(1-EXP(-2*Sheet1!$M$103*Sheet1!$M$105/A735^2))</f>
        <v>11.385998537940717</v>
      </c>
    </row>
    <row r="736" spans="1:2">
      <c r="A736" s="19">
        <f t="shared" si="11"/>
        <v>13.259999999999845</v>
      </c>
      <c r="B736" s="108">
        <f>A736*SQRT(1-EXP(-2*Sheet1!$M$103*Sheet1!$M$105/A736^2))</f>
        <v>11.390506377027194</v>
      </c>
    </row>
    <row r="737" spans="1:2">
      <c r="A737" s="19">
        <f t="shared" si="11"/>
        <v>13.269999999999845</v>
      </c>
      <c r="B737" s="108">
        <f>A737*SQRT(1-EXP(-2*Sheet1!$M$103*Sheet1!$M$105/A737^2))</f>
        <v>11.395007580255957</v>
      </c>
    </row>
    <row r="738" spans="1:2">
      <c r="A738" s="19">
        <f t="shared" si="11"/>
        <v>13.279999999999845</v>
      </c>
      <c r="B738" s="108">
        <f>A738*SQRT(1-EXP(-2*Sheet1!$M$103*Sheet1!$M$105/A738^2))</f>
        <v>11.399502157500176</v>
      </c>
    </row>
    <row r="739" spans="1:2">
      <c r="A739" s="19">
        <f t="shared" si="11"/>
        <v>13.289999999999845</v>
      </c>
      <c r="B739" s="108">
        <f>A739*SQRT(1-EXP(-2*Sheet1!$M$103*Sheet1!$M$105/A739^2))</f>
        <v>11.403990118627364</v>
      </c>
    </row>
    <row r="740" spans="1:2">
      <c r="A740" s="19">
        <f t="shared" si="11"/>
        <v>13.299999999999844</v>
      </c>
      <c r="B740" s="108">
        <f>A740*SQRT(1-EXP(-2*Sheet1!$M$103*Sheet1!$M$105/A740^2))</f>
        <v>11.408471473499297</v>
      </c>
    </row>
    <row r="741" spans="1:2">
      <c r="A741" s="19">
        <f t="shared" si="11"/>
        <v>13.309999999999844</v>
      </c>
      <c r="B741" s="108">
        <f>A741*SQRT(1-EXP(-2*Sheet1!$M$103*Sheet1!$M$105/A741^2))</f>
        <v>11.412946231971933</v>
      </c>
    </row>
    <row r="742" spans="1:2">
      <c r="A742" s="19">
        <f t="shared" si="11"/>
        <v>13.319999999999844</v>
      </c>
      <c r="B742" s="108">
        <f>A742*SQRT(1-EXP(-2*Sheet1!$M$103*Sheet1!$M$105/A742^2))</f>
        <v>11.417414403895355</v>
      </c>
    </row>
    <row r="743" spans="1:2">
      <c r="A743" s="19">
        <f t="shared" si="11"/>
        <v>13.329999999999844</v>
      </c>
      <c r="B743" s="108">
        <f>A743*SQRT(1-EXP(-2*Sheet1!$M$103*Sheet1!$M$105/A743^2))</f>
        <v>11.421875999113695</v>
      </c>
    </row>
    <row r="744" spans="1:2">
      <c r="A744" s="19">
        <f t="shared" si="11"/>
        <v>13.339999999999844</v>
      </c>
      <c r="B744" s="108">
        <f>A744*SQRT(1-EXP(-2*Sheet1!$M$103*Sheet1!$M$105/A744^2))</f>
        <v>11.426331027465061</v>
      </c>
    </row>
    <row r="745" spans="1:2">
      <c r="A745" s="19">
        <f t="shared" si="11"/>
        <v>13.349999999999843</v>
      </c>
      <c r="B745" s="108">
        <f>A745*SQRT(1-EXP(-2*Sheet1!$M$103*Sheet1!$M$105/A745^2))</f>
        <v>11.430779498781467</v>
      </c>
    </row>
    <row r="746" spans="1:2">
      <c r="A746" s="19">
        <f t="shared" si="11"/>
        <v>13.359999999999843</v>
      </c>
      <c r="B746" s="108">
        <f>A746*SQRT(1-EXP(-2*Sheet1!$M$103*Sheet1!$M$105/A746^2))</f>
        <v>11.435221422888775</v>
      </c>
    </row>
    <row r="747" spans="1:2">
      <c r="A747" s="19">
        <f t="shared" si="11"/>
        <v>13.369999999999843</v>
      </c>
      <c r="B747" s="108">
        <f>A747*SQRT(1-EXP(-2*Sheet1!$M$103*Sheet1!$M$105/A747^2))</f>
        <v>11.43965680960661</v>
      </c>
    </row>
    <row r="748" spans="1:2">
      <c r="A748" s="19">
        <f t="shared" si="11"/>
        <v>13.379999999999843</v>
      </c>
      <c r="B748" s="108">
        <f>A748*SQRT(1-EXP(-2*Sheet1!$M$103*Sheet1!$M$105/A748^2))</f>
        <v>11.444085668748302</v>
      </c>
    </row>
    <row r="749" spans="1:2">
      <c r="A749" s="19">
        <f t="shared" si="11"/>
        <v>13.389999999999842</v>
      </c>
      <c r="B749" s="108">
        <f>A749*SQRT(1-EXP(-2*Sheet1!$M$103*Sheet1!$M$105/A749^2))</f>
        <v>11.448508010120824</v>
      </c>
    </row>
    <row r="750" spans="1:2">
      <c r="A750" s="19">
        <f t="shared" si="11"/>
        <v>13.399999999999842</v>
      </c>
      <c r="B750" s="108">
        <f>A750*SQRT(1-EXP(-2*Sheet1!$M$103*Sheet1!$M$105/A750^2))</f>
        <v>11.45292384352471</v>
      </c>
    </row>
    <row r="751" spans="1:2">
      <c r="A751" s="19">
        <f t="shared" si="11"/>
        <v>13.409999999999842</v>
      </c>
      <c r="B751" s="108">
        <f>A751*SQRT(1-EXP(-2*Sheet1!$M$103*Sheet1!$M$105/A751^2))</f>
        <v>11.457333178754</v>
      </c>
    </row>
    <row r="752" spans="1:2">
      <c r="A752" s="19">
        <f t="shared" si="11"/>
        <v>13.419999999999842</v>
      </c>
      <c r="B752" s="108">
        <f>A752*SQRT(1-EXP(-2*Sheet1!$M$103*Sheet1!$M$105/A752^2))</f>
        <v>11.46173602559618</v>
      </c>
    </row>
    <row r="753" spans="1:2">
      <c r="A753" s="19">
        <f t="shared" si="11"/>
        <v>13.429999999999842</v>
      </c>
      <c r="B753" s="108">
        <f>A753*SQRT(1-EXP(-2*Sheet1!$M$103*Sheet1!$M$105/A753^2))</f>
        <v>11.466132393832101</v>
      </c>
    </row>
    <row r="754" spans="1:2">
      <c r="A754" s="19">
        <f t="shared" si="11"/>
        <v>13.439999999999841</v>
      </c>
      <c r="B754" s="108">
        <f>A754*SQRT(1-EXP(-2*Sheet1!$M$103*Sheet1!$M$105/A754^2))</f>
        <v>11.470522293235929</v>
      </c>
    </row>
    <row r="755" spans="1:2">
      <c r="A755" s="19">
        <f t="shared" si="11"/>
        <v>13.449999999999841</v>
      </c>
      <c r="B755" s="108">
        <f>A755*SQRT(1-EXP(-2*Sheet1!$M$103*Sheet1!$M$105/A755^2))</f>
        <v>11.474905733575071</v>
      </c>
    </row>
    <row r="756" spans="1:2">
      <c r="A756" s="19">
        <f t="shared" si="11"/>
        <v>13.459999999999841</v>
      </c>
      <c r="B756" s="108">
        <f>A756*SQRT(1-EXP(-2*Sheet1!$M$103*Sheet1!$M$105/A756^2))</f>
        <v>11.479282724610121</v>
      </c>
    </row>
    <row r="757" spans="1:2">
      <c r="A757" s="19">
        <f t="shared" si="11"/>
        <v>13.469999999999841</v>
      </c>
      <c r="B757" s="108">
        <f>A757*SQRT(1-EXP(-2*Sheet1!$M$103*Sheet1!$M$105/A757^2))</f>
        <v>11.483653276094794</v>
      </c>
    </row>
    <row r="758" spans="1:2">
      <c r="A758" s="19">
        <f t="shared" si="11"/>
        <v>13.479999999999841</v>
      </c>
      <c r="B758" s="108">
        <f>A758*SQRT(1-EXP(-2*Sheet1!$M$103*Sheet1!$M$105/A758^2))</f>
        <v>11.488017397775861</v>
      </c>
    </row>
    <row r="759" spans="1:2">
      <c r="A759" s="19">
        <f t="shared" si="11"/>
        <v>13.48999999999984</v>
      </c>
      <c r="B759" s="108">
        <f>A759*SQRT(1-EXP(-2*Sheet1!$M$103*Sheet1!$M$105/A759^2))</f>
        <v>11.492375099393096</v>
      </c>
    </row>
    <row r="760" spans="1:2">
      <c r="A760" s="19">
        <f t="shared" si="11"/>
        <v>13.49999999999984</v>
      </c>
      <c r="B760" s="108">
        <f>A760*SQRT(1-EXP(-2*Sheet1!$M$103*Sheet1!$M$105/A760^2))</f>
        <v>11.4967263906792</v>
      </c>
    </row>
    <row r="761" spans="1:2">
      <c r="A761" s="19">
        <f t="shared" si="11"/>
        <v>13.50999999999984</v>
      </c>
      <c r="B761" s="108">
        <f>A761*SQRT(1-EXP(-2*Sheet1!$M$103*Sheet1!$M$105/A761^2))</f>
        <v>11.501071281359764</v>
      </c>
    </row>
    <row r="762" spans="1:2">
      <c r="A762" s="19">
        <f t="shared" si="11"/>
        <v>13.51999999999984</v>
      </c>
      <c r="B762" s="108">
        <f>A762*SQRT(1-EXP(-2*Sheet1!$M$103*Sheet1!$M$105/A762^2))</f>
        <v>11.50540978115318</v>
      </c>
    </row>
    <row r="763" spans="1:2">
      <c r="A763" s="19">
        <f t="shared" si="11"/>
        <v>13.529999999999839</v>
      </c>
      <c r="B763" s="108">
        <f>A763*SQRT(1-EXP(-2*Sheet1!$M$103*Sheet1!$M$105/A763^2))</f>
        <v>11.50974189977061</v>
      </c>
    </row>
    <row r="764" spans="1:2">
      <c r="A764" s="19">
        <f t="shared" si="11"/>
        <v>13.539999999999839</v>
      </c>
      <c r="B764" s="108">
        <f>A764*SQRT(1-EXP(-2*Sheet1!$M$103*Sheet1!$M$105/A764^2))</f>
        <v>11.51406764691591</v>
      </c>
    </row>
    <row r="765" spans="1:2">
      <c r="A765" s="19">
        <f t="shared" si="11"/>
        <v>13.549999999999839</v>
      </c>
      <c r="B765" s="108">
        <f>A765*SQRT(1-EXP(-2*Sheet1!$M$103*Sheet1!$M$105/A765^2))</f>
        <v>11.518387032285581</v>
      </c>
    </row>
    <row r="766" spans="1:2">
      <c r="A766" s="19">
        <f t="shared" si="11"/>
        <v>13.559999999999839</v>
      </c>
      <c r="B766" s="108">
        <f>A766*SQRT(1-EXP(-2*Sheet1!$M$103*Sheet1!$M$105/A766^2))</f>
        <v>11.522700065568706</v>
      </c>
    </row>
    <row r="767" spans="1:2">
      <c r="A767" s="19">
        <f t="shared" si="11"/>
        <v>13.569999999999839</v>
      </c>
      <c r="B767" s="108">
        <f>A767*SQRT(1-EXP(-2*Sheet1!$M$103*Sheet1!$M$105/A767^2))</f>
        <v>11.527006756446891</v>
      </c>
    </row>
    <row r="768" spans="1:2">
      <c r="A768" s="19">
        <f t="shared" si="11"/>
        <v>13.579999999999838</v>
      </c>
      <c r="B768" s="108">
        <f>A768*SQRT(1-EXP(-2*Sheet1!$M$103*Sheet1!$M$105/A768^2))</f>
        <v>11.53130711459422</v>
      </c>
    </row>
    <row r="769" spans="1:2">
      <c r="A769" s="19">
        <f t="shared" si="11"/>
        <v>13.589999999999838</v>
      </c>
      <c r="B769" s="108">
        <f>A769*SQRT(1-EXP(-2*Sheet1!$M$103*Sheet1!$M$105/A769^2))</f>
        <v>11.535601149677186</v>
      </c>
    </row>
    <row r="770" spans="1:2">
      <c r="A770" s="19">
        <f t="shared" si="11"/>
        <v>13.599999999999838</v>
      </c>
      <c r="B770" s="108">
        <f>A770*SQRT(1-EXP(-2*Sheet1!$M$103*Sheet1!$M$105/A770^2))</f>
        <v>11.539888871354643</v>
      </c>
    </row>
    <row r="771" spans="1:2">
      <c r="A771" s="19">
        <f t="shared" si="11"/>
        <v>13.609999999999838</v>
      </c>
      <c r="B771" s="108">
        <f>A771*SQRT(1-EXP(-2*Sheet1!$M$103*Sheet1!$M$105/A771^2))</f>
        <v>11.544170289277753</v>
      </c>
    </row>
    <row r="772" spans="1:2">
      <c r="A772" s="19">
        <f t="shared" si="11"/>
        <v>13.619999999999838</v>
      </c>
      <c r="B772" s="108">
        <f>A772*SQRT(1-EXP(-2*Sheet1!$M$103*Sheet1!$M$105/A772^2))</f>
        <v>11.548445413089924</v>
      </c>
    </row>
    <row r="773" spans="1:2">
      <c r="A773" s="19">
        <f t="shared" si="11"/>
        <v>13.629999999999837</v>
      </c>
      <c r="B773" s="108">
        <f>A773*SQRT(1-EXP(-2*Sheet1!$M$103*Sheet1!$M$105/A773^2))</f>
        <v>11.552714252426764</v>
      </c>
    </row>
    <row r="774" spans="1:2">
      <c r="A774" s="19">
        <f t="shared" si="11"/>
        <v>13.639999999999837</v>
      </c>
      <c r="B774" s="108">
        <f>A774*SQRT(1-EXP(-2*Sheet1!$M$103*Sheet1!$M$105/A774^2))</f>
        <v>11.556976816916022</v>
      </c>
    </row>
    <row r="775" spans="1:2">
      <c r="A775" s="19">
        <f t="shared" si="11"/>
        <v>13.649999999999837</v>
      </c>
      <c r="B775" s="108">
        <f>A775*SQRT(1-EXP(-2*Sheet1!$M$103*Sheet1!$M$105/A775^2))</f>
        <v>11.56123311617754</v>
      </c>
    </row>
    <row r="776" spans="1:2">
      <c r="A776" s="19">
        <f t="shared" si="11"/>
        <v>13.659999999999837</v>
      </c>
      <c r="B776" s="108">
        <f>A776*SQRT(1-EXP(-2*Sheet1!$M$103*Sheet1!$M$105/A776^2))</f>
        <v>11.565483159823199</v>
      </c>
    </row>
    <row r="777" spans="1:2">
      <c r="A777" s="19">
        <f t="shared" si="11"/>
        <v>13.669999999999837</v>
      </c>
      <c r="B777" s="108">
        <f>A777*SQRT(1-EXP(-2*Sheet1!$M$103*Sheet1!$M$105/A777^2))</f>
        <v>11.569726957456865</v>
      </c>
    </row>
    <row r="778" spans="1:2">
      <c r="A778" s="19">
        <f t="shared" si="11"/>
        <v>13.679999999999836</v>
      </c>
      <c r="B778" s="108">
        <f>A778*SQRT(1-EXP(-2*Sheet1!$M$103*Sheet1!$M$105/A778^2))</f>
        <v>11.573964518674339</v>
      </c>
    </row>
    <row r="779" spans="1:2">
      <c r="A779" s="19">
        <f t="shared" si="11"/>
        <v>13.689999999999836</v>
      </c>
      <c r="B779" s="108">
        <f>A779*SQRT(1-EXP(-2*Sheet1!$M$103*Sheet1!$M$105/A779^2))</f>
        <v>11.578195853063312</v>
      </c>
    </row>
    <row r="780" spans="1:2">
      <c r="A780" s="19">
        <f t="shared" ref="A780:A843" si="12">A779+$B$7</f>
        <v>13.699999999999836</v>
      </c>
      <c r="B780" s="108">
        <f>A780*SQRT(1-EXP(-2*Sheet1!$M$103*Sheet1!$M$105/A780^2))</f>
        <v>11.582420970203307</v>
      </c>
    </row>
    <row r="781" spans="1:2">
      <c r="A781" s="19">
        <f t="shared" si="12"/>
        <v>13.709999999999836</v>
      </c>
      <c r="B781" s="108">
        <f>A781*SQRT(1-EXP(-2*Sheet1!$M$103*Sheet1!$M$105/A781^2))</f>
        <v>11.586639879665633</v>
      </c>
    </row>
    <row r="782" spans="1:2">
      <c r="A782" s="19">
        <f t="shared" si="12"/>
        <v>13.719999999999835</v>
      </c>
      <c r="B782" s="108">
        <f>A782*SQRT(1-EXP(-2*Sheet1!$M$103*Sheet1!$M$105/A782^2))</f>
        <v>11.590852591013329</v>
      </c>
    </row>
    <row r="783" spans="1:2">
      <c r="A783" s="19">
        <f t="shared" si="12"/>
        <v>13.729999999999835</v>
      </c>
      <c r="B783" s="108">
        <f>A783*SQRT(1-EXP(-2*Sheet1!$M$103*Sheet1!$M$105/A783^2))</f>
        <v>11.595059113801135</v>
      </c>
    </row>
    <row r="784" spans="1:2">
      <c r="A784" s="19">
        <f t="shared" si="12"/>
        <v>13.739999999999835</v>
      </c>
      <c r="B784" s="108">
        <f>A784*SQRT(1-EXP(-2*Sheet1!$M$103*Sheet1!$M$105/A784^2))</f>
        <v>11.599259457575418</v>
      </c>
    </row>
    <row r="785" spans="1:2">
      <c r="A785" s="19">
        <f t="shared" si="12"/>
        <v>13.749999999999835</v>
      </c>
      <c r="B785" s="108">
        <f>A785*SQRT(1-EXP(-2*Sheet1!$M$103*Sheet1!$M$105/A785^2))</f>
        <v>11.603453631874141</v>
      </c>
    </row>
    <row r="786" spans="1:2">
      <c r="A786" s="19">
        <f t="shared" si="12"/>
        <v>13.759999999999835</v>
      </c>
      <c r="B786" s="108">
        <f>A786*SQRT(1-EXP(-2*Sheet1!$M$103*Sheet1!$M$105/A786^2))</f>
        <v>11.60764164622681</v>
      </c>
    </row>
    <row r="787" spans="1:2">
      <c r="A787" s="19">
        <f t="shared" si="12"/>
        <v>13.769999999999834</v>
      </c>
      <c r="B787" s="108">
        <f>A787*SQRT(1-EXP(-2*Sheet1!$M$103*Sheet1!$M$105/A787^2))</f>
        <v>11.611823510154435</v>
      </c>
    </row>
    <row r="788" spans="1:2">
      <c r="A788" s="19">
        <f t="shared" si="12"/>
        <v>13.779999999999834</v>
      </c>
      <c r="B788" s="108">
        <f>A788*SQRT(1-EXP(-2*Sheet1!$M$103*Sheet1!$M$105/A788^2))</f>
        <v>11.615999233169468</v>
      </c>
    </row>
    <row r="789" spans="1:2">
      <c r="A789" s="19">
        <f t="shared" si="12"/>
        <v>13.789999999999834</v>
      </c>
      <c r="B789" s="108">
        <f>A789*SQRT(1-EXP(-2*Sheet1!$M$103*Sheet1!$M$105/A789^2))</f>
        <v>11.620168824775773</v>
      </c>
    </row>
    <row r="790" spans="1:2">
      <c r="A790" s="19">
        <f t="shared" si="12"/>
        <v>13.799999999999834</v>
      </c>
      <c r="B790" s="108">
        <f>A790*SQRT(1-EXP(-2*Sheet1!$M$103*Sheet1!$M$105/A790^2))</f>
        <v>11.624332294468568</v>
      </c>
    </row>
    <row r="791" spans="1:2">
      <c r="A791" s="19">
        <f t="shared" si="12"/>
        <v>13.809999999999834</v>
      </c>
      <c r="B791" s="108">
        <f>A791*SQRT(1-EXP(-2*Sheet1!$M$103*Sheet1!$M$105/A791^2))</f>
        <v>11.628489651734391</v>
      </c>
    </row>
    <row r="792" spans="1:2">
      <c r="A792" s="19">
        <f t="shared" si="12"/>
        <v>13.819999999999833</v>
      </c>
      <c r="B792" s="108">
        <f>A792*SQRT(1-EXP(-2*Sheet1!$M$103*Sheet1!$M$105/A792^2))</f>
        <v>11.632640906051046</v>
      </c>
    </row>
    <row r="793" spans="1:2">
      <c r="A793" s="19">
        <f t="shared" si="12"/>
        <v>13.829999999999833</v>
      </c>
      <c r="B793" s="108">
        <f>A793*SQRT(1-EXP(-2*Sheet1!$M$103*Sheet1!$M$105/A793^2))</f>
        <v>11.636786066887575</v>
      </c>
    </row>
    <row r="794" spans="1:2">
      <c r="A794" s="19">
        <f t="shared" si="12"/>
        <v>13.839999999999833</v>
      </c>
      <c r="B794" s="108">
        <f>A794*SQRT(1-EXP(-2*Sheet1!$M$103*Sheet1!$M$105/A794^2))</f>
        <v>11.640925143704189</v>
      </c>
    </row>
    <row r="795" spans="1:2">
      <c r="A795" s="19">
        <f t="shared" si="12"/>
        <v>13.849999999999833</v>
      </c>
      <c r="B795" s="108">
        <f>A795*SQRT(1-EXP(-2*Sheet1!$M$103*Sheet1!$M$105/A795^2))</f>
        <v>11.645058145952246</v>
      </c>
    </row>
    <row r="796" spans="1:2">
      <c r="A796" s="19">
        <f t="shared" si="12"/>
        <v>13.859999999999832</v>
      </c>
      <c r="B796" s="108">
        <f>A796*SQRT(1-EXP(-2*Sheet1!$M$103*Sheet1!$M$105/A796^2))</f>
        <v>11.649185083074205</v>
      </c>
    </row>
    <row r="797" spans="1:2">
      <c r="A797" s="19">
        <f t="shared" si="12"/>
        <v>13.869999999999832</v>
      </c>
      <c r="B797" s="108">
        <f>A797*SQRT(1-EXP(-2*Sheet1!$M$103*Sheet1!$M$105/A797^2))</f>
        <v>11.653305964503568</v>
      </c>
    </row>
    <row r="798" spans="1:2">
      <c r="A798" s="19">
        <f t="shared" si="12"/>
        <v>13.879999999999832</v>
      </c>
      <c r="B798" s="108">
        <f>A798*SQRT(1-EXP(-2*Sheet1!$M$103*Sheet1!$M$105/A798^2))</f>
        <v>11.657420799664868</v>
      </c>
    </row>
    <row r="799" spans="1:2">
      <c r="A799" s="19">
        <f t="shared" si="12"/>
        <v>13.889999999999832</v>
      </c>
      <c r="B799" s="108">
        <f>A799*SQRT(1-EXP(-2*Sheet1!$M$103*Sheet1!$M$105/A799^2))</f>
        <v>11.661529597973598</v>
      </c>
    </row>
    <row r="800" spans="1:2">
      <c r="A800" s="19">
        <f t="shared" si="12"/>
        <v>13.899999999999832</v>
      </c>
      <c r="B800" s="108">
        <f>A800*SQRT(1-EXP(-2*Sheet1!$M$103*Sheet1!$M$105/A800^2))</f>
        <v>11.665632368836182</v>
      </c>
    </row>
    <row r="801" spans="1:2">
      <c r="A801" s="19">
        <f t="shared" si="12"/>
        <v>13.909999999999831</v>
      </c>
      <c r="B801" s="108">
        <f>A801*SQRT(1-EXP(-2*Sheet1!$M$103*Sheet1!$M$105/A801^2))</f>
        <v>11.669729121649944</v>
      </c>
    </row>
    <row r="802" spans="1:2">
      <c r="A802" s="19">
        <f t="shared" si="12"/>
        <v>13.919999999999831</v>
      </c>
      <c r="B802" s="108">
        <f>A802*SQRT(1-EXP(-2*Sheet1!$M$103*Sheet1!$M$105/A802^2))</f>
        <v>11.673819865803051</v>
      </c>
    </row>
    <row r="803" spans="1:2">
      <c r="A803" s="19">
        <f t="shared" si="12"/>
        <v>13.929999999999831</v>
      </c>
      <c r="B803" s="108">
        <f>A803*SQRT(1-EXP(-2*Sheet1!$M$103*Sheet1!$M$105/A803^2))</f>
        <v>11.677904610674489</v>
      </c>
    </row>
    <row r="804" spans="1:2">
      <c r="A804" s="19">
        <f t="shared" si="12"/>
        <v>13.939999999999831</v>
      </c>
      <c r="B804" s="108">
        <f>A804*SQRT(1-EXP(-2*Sheet1!$M$103*Sheet1!$M$105/A804^2))</f>
        <v>11.681983365634007</v>
      </c>
    </row>
    <row r="805" spans="1:2">
      <c r="A805" s="19">
        <f t="shared" si="12"/>
        <v>13.949999999999831</v>
      </c>
      <c r="B805" s="108">
        <f>A805*SQRT(1-EXP(-2*Sheet1!$M$103*Sheet1!$M$105/A805^2))</f>
        <v>11.686056140042098</v>
      </c>
    </row>
    <row r="806" spans="1:2">
      <c r="A806" s="19">
        <f t="shared" si="12"/>
        <v>13.95999999999983</v>
      </c>
      <c r="B806" s="108">
        <f>A806*SQRT(1-EXP(-2*Sheet1!$M$103*Sheet1!$M$105/A806^2))</f>
        <v>11.690122943249941</v>
      </c>
    </row>
    <row r="807" spans="1:2">
      <c r="A807" s="19">
        <f t="shared" si="12"/>
        <v>13.96999999999983</v>
      </c>
      <c r="B807" s="108">
        <f>A807*SQRT(1-EXP(-2*Sheet1!$M$103*Sheet1!$M$105/A807^2))</f>
        <v>11.694183784599382</v>
      </c>
    </row>
    <row r="808" spans="1:2">
      <c r="A808" s="19">
        <f t="shared" si="12"/>
        <v>13.97999999999983</v>
      </c>
      <c r="B808" s="108">
        <f>A808*SQRT(1-EXP(-2*Sheet1!$M$103*Sheet1!$M$105/A808^2))</f>
        <v>11.698238673422878</v>
      </c>
    </row>
    <row r="809" spans="1:2">
      <c r="A809" s="19">
        <f t="shared" si="12"/>
        <v>13.98999999999983</v>
      </c>
      <c r="B809" s="108">
        <f>A809*SQRT(1-EXP(-2*Sheet1!$M$103*Sheet1!$M$105/A809^2))</f>
        <v>11.702287619043476</v>
      </c>
    </row>
    <row r="810" spans="1:2">
      <c r="A810" s="19">
        <f t="shared" si="12"/>
        <v>13.999999999999829</v>
      </c>
      <c r="B810" s="108">
        <f>A810*SQRT(1-EXP(-2*Sheet1!$M$103*Sheet1!$M$105/A810^2))</f>
        <v>11.706330630774769</v>
      </c>
    </row>
    <row r="811" spans="1:2">
      <c r="A811" s="19">
        <f t="shared" si="12"/>
        <v>14.009999999999829</v>
      </c>
      <c r="B811" s="108">
        <f>A811*SQRT(1-EXP(-2*Sheet1!$M$103*Sheet1!$M$105/A811^2))</f>
        <v>11.710367717920857</v>
      </c>
    </row>
    <row r="812" spans="1:2">
      <c r="A812" s="19">
        <f t="shared" si="12"/>
        <v>14.019999999999829</v>
      </c>
      <c r="B812" s="108">
        <f>A812*SQRT(1-EXP(-2*Sheet1!$M$103*Sheet1!$M$105/A812^2))</f>
        <v>11.714398889776316</v>
      </c>
    </row>
    <row r="813" spans="1:2">
      <c r="A813" s="19">
        <f t="shared" si="12"/>
        <v>14.029999999999829</v>
      </c>
      <c r="B813" s="108">
        <f>A813*SQRT(1-EXP(-2*Sheet1!$M$103*Sheet1!$M$105/A813^2))</f>
        <v>11.718424155626167</v>
      </c>
    </row>
    <row r="814" spans="1:2">
      <c r="A814" s="19">
        <f t="shared" si="12"/>
        <v>14.039999999999829</v>
      </c>
      <c r="B814" s="108">
        <f>A814*SQRT(1-EXP(-2*Sheet1!$M$103*Sheet1!$M$105/A814^2))</f>
        <v>11.722443524745824</v>
      </c>
    </row>
    <row r="815" spans="1:2">
      <c r="A815" s="19">
        <f t="shared" si="12"/>
        <v>14.049999999999828</v>
      </c>
      <c r="B815" s="108">
        <f>A815*SQRT(1-EXP(-2*Sheet1!$M$103*Sheet1!$M$105/A815^2))</f>
        <v>11.726457006401077</v>
      </c>
    </row>
    <row r="816" spans="1:2">
      <c r="A816" s="19">
        <f t="shared" si="12"/>
        <v>14.059999999999828</v>
      </c>
      <c r="B816" s="108">
        <f>A816*SQRT(1-EXP(-2*Sheet1!$M$103*Sheet1!$M$105/A816^2))</f>
        <v>11.730464609848054</v>
      </c>
    </row>
    <row r="817" spans="1:2">
      <c r="A817" s="19">
        <f t="shared" si="12"/>
        <v>14.069999999999828</v>
      </c>
      <c r="B817" s="108">
        <f>A817*SQRT(1-EXP(-2*Sheet1!$M$103*Sheet1!$M$105/A817^2))</f>
        <v>11.734466344333182</v>
      </c>
    </row>
    <row r="818" spans="1:2">
      <c r="A818" s="19">
        <f t="shared" si="12"/>
        <v>14.079999999999828</v>
      </c>
      <c r="B818" s="108">
        <f>A818*SQRT(1-EXP(-2*Sheet1!$M$103*Sheet1!$M$105/A818^2))</f>
        <v>11.738462219093158</v>
      </c>
    </row>
    <row r="819" spans="1:2">
      <c r="A819" s="19">
        <f t="shared" si="12"/>
        <v>14.089999999999828</v>
      </c>
      <c r="B819" s="108">
        <f>A819*SQRT(1-EXP(-2*Sheet1!$M$103*Sheet1!$M$105/A819^2))</f>
        <v>11.74245224335491</v>
      </c>
    </row>
    <row r="820" spans="1:2">
      <c r="A820" s="19">
        <f t="shared" si="12"/>
        <v>14.099999999999827</v>
      </c>
      <c r="B820" s="108">
        <f>A820*SQRT(1-EXP(-2*Sheet1!$M$103*Sheet1!$M$105/A820^2))</f>
        <v>11.746436426335571</v>
      </c>
    </row>
    <row r="821" spans="1:2">
      <c r="A821" s="19">
        <f t="shared" si="12"/>
        <v>14.109999999999827</v>
      </c>
      <c r="B821" s="108">
        <f>A821*SQRT(1-EXP(-2*Sheet1!$M$103*Sheet1!$M$105/A821^2))</f>
        <v>11.750414777242444</v>
      </c>
    </row>
    <row r="822" spans="1:2">
      <c r="A822" s="19">
        <f t="shared" si="12"/>
        <v>14.119999999999827</v>
      </c>
      <c r="B822" s="108">
        <f>A822*SQRT(1-EXP(-2*Sheet1!$M$103*Sheet1!$M$105/A822^2))</f>
        <v>11.754387305272974</v>
      </c>
    </row>
    <row r="823" spans="1:2">
      <c r="A823" s="19">
        <f t="shared" si="12"/>
        <v>14.129999999999827</v>
      </c>
      <c r="B823" s="108">
        <f>A823*SQRT(1-EXP(-2*Sheet1!$M$103*Sheet1!$M$105/A823^2))</f>
        <v>11.758354019614709</v>
      </c>
    </row>
    <row r="824" spans="1:2">
      <c r="A824" s="19">
        <f t="shared" si="12"/>
        <v>14.139999999999826</v>
      </c>
      <c r="B824" s="108">
        <f>A824*SQRT(1-EXP(-2*Sheet1!$M$103*Sheet1!$M$105/A824^2))</f>
        <v>11.762314929445276</v>
      </c>
    </row>
    <row r="825" spans="1:2">
      <c r="A825" s="19">
        <f t="shared" si="12"/>
        <v>14.149999999999826</v>
      </c>
      <c r="B825" s="108">
        <f>A825*SQRT(1-EXP(-2*Sheet1!$M$103*Sheet1!$M$105/A825^2))</f>
        <v>11.766270043932341</v>
      </c>
    </row>
    <row r="826" spans="1:2">
      <c r="A826" s="19">
        <f t="shared" si="12"/>
        <v>14.159999999999826</v>
      </c>
      <c r="B826" s="108">
        <f>A826*SQRT(1-EXP(-2*Sheet1!$M$103*Sheet1!$M$105/A826^2))</f>
        <v>11.770219372233591</v>
      </c>
    </row>
    <row r="827" spans="1:2">
      <c r="A827" s="19">
        <f t="shared" si="12"/>
        <v>14.169999999999826</v>
      </c>
      <c r="B827" s="108">
        <f>A827*SQRT(1-EXP(-2*Sheet1!$M$103*Sheet1!$M$105/A827^2))</f>
        <v>11.774162923496696</v>
      </c>
    </row>
    <row r="828" spans="1:2">
      <c r="A828" s="19">
        <f t="shared" si="12"/>
        <v>14.179999999999826</v>
      </c>
      <c r="B828" s="108">
        <f>A828*SQRT(1-EXP(-2*Sheet1!$M$103*Sheet1!$M$105/A828^2))</f>
        <v>11.778100706859281</v>
      </c>
    </row>
    <row r="829" spans="1:2">
      <c r="A829" s="19">
        <f t="shared" si="12"/>
        <v>14.189999999999825</v>
      </c>
      <c r="B829" s="108">
        <f>A829*SQRT(1-EXP(-2*Sheet1!$M$103*Sheet1!$M$105/A829^2))</f>
        <v>11.782032731448897</v>
      </c>
    </row>
    <row r="830" spans="1:2">
      <c r="A830" s="19">
        <f t="shared" si="12"/>
        <v>14.199999999999825</v>
      </c>
      <c r="B830" s="108">
        <f>A830*SQRT(1-EXP(-2*Sheet1!$M$103*Sheet1!$M$105/A830^2))</f>
        <v>11.785959006382988</v>
      </c>
    </row>
    <row r="831" spans="1:2">
      <c r="A831" s="19">
        <f t="shared" si="12"/>
        <v>14.209999999999825</v>
      </c>
      <c r="B831" s="108">
        <f>A831*SQRT(1-EXP(-2*Sheet1!$M$103*Sheet1!$M$105/A831^2))</f>
        <v>11.789879540768876</v>
      </c>
    </row>
    <row r="832" spans="1:2">
      <c r="A832" s="19">
        <f t="shared" si="12"/>
        <v>14.219999999999825</v>
      </c>
      <c r="B832" s="108">
        <f>A832*SQRT(1-EXP(-2*Sheet1!$M$103*Sheet1!$M$105/A832^2))</f>
        <v>11.793794343703713</v>
      </c>
    </row>
    <row r="833" spans="1:2">
      <c r="A833" s="19">
        <f t="shared" si="12"/>
        <v>14.229999999999825</v>
      </c>
      <c r="B833" s="108">
        <f>A833*SQRT(1-EXP(-2*Sheet1!$M$103*Sheet1!$M$105/A833^2))</f>
        <v>11.797703424274466</v>
      </c>
    </row>
    <row r="834" spans="1:2">
      <c r="A834" s="19">
        <f t="shared" si="12"/>
        <v>14.239999999999824</v>
      </c>
      <c r="B834" s="108">
        <f>A834*SQRT(1-EXP(-2*Sheet1!$M$103*Sheet1!$M$105/A834^2))</f>
        <v>11.801606791557894</v>
      </c>
    </row>
    <row r="835" spans="1:2">
      <c r="A835" s="19">
        <f t="shared" si="12"/>
        <v>14.249999999999824</v>
      </c>
      <c r="B835" s="108">
        <f>A835*SQRT(1-EXP(-2*Sheet1!$M$103*Sheet1!$M$105/A835^2))</f>
        <v>11.8055044546205</v>
      </c>
    </row>
    <row r="836" spans="1:2">
      <c r="A836" s="19">
        <f t="shared" si="12"/>
        <v>14.259999999999824</v>
      </c>
      <c r="B836" s="108">
        <f>A836*SQRT(1-EXP(-2*Sheet1!$M$103*Sheet1!$M$105/A836^2))</f>
        <v>11.809396422518532</v>
      </c>
    </row>
    <row r="837" spans="1:2">
      <c r="A837" s="19">
        <f t="shared" si="12"/>
        <v>14.269999999999824</v>
      </c>
      <c r="B837" s="108">
        <f>A837*SQRT(1-EXP(-2*Sheet1!$M$103*Sheet1!$M$105/A837^2))</f>
        <v>11.813282704297929</v>
      </c>
    </row>
    <row r="838" spans="1:2">
      <c r="A838" s="19">
        <f t="shared" si="12"/>
        <v>14.279999999999824</v>
      </c>
      <c r="B838" s="108">
        <f>A838*SQRT(1-EXP(-2*Sheet1!$M$103*Sheet1!$M$105/A838^2))</f>
        <v>11.817163308994324</v>
      </c>
    </row>
    <row r="839" spans="1:2">
      <c r="A839" s="19">
        <f t="shared" si="12"/>
        <v>14.289999999999823</v>
      </c>
      <c r="B839" s="108">
        <f>A839*SQRT(1-EXP(-2*Sheet1!$M$103*Sheet1!$M$105/A839^2))</f>
        <v>11.821038245632984</v>
      </c>
    </row>
    <row r="840" spans="1:2">
      <c r="A840" s="19">
        <f t="shared" si="12"/>
        <v>14.299999999999823</v>
      </c>
      <c r="B840" s="108">
        <f>A840*SQRT(1-EXP(-2*Sheet1!$M$103*Sheet1!$M$105/A840^2))</f>
        <v>11.82490752322882</v>
      </c>
    </row>
    <row r="841" spans="1:2">
      <c r="A841" s="19">
        <f t="shared" si="12"/>
        <v>14.309999999999823</v>
      </c>
      <c r="B841" s="108">
        <f>A841*SQRT(1-EXP(-2*Sheet1!$M$103*Sheet1!$M$105/A841^2))</f>
        <v>11.828771150786331</v>
      </c>
    </row>
    <row r="842" spans="1:2">
      <c r="A842" s="19">
        <f t="shared" si="12"/>
        <v>14.319999999999823</v>
      </c>
      <c r="B842" s="108">
        <f>A842*SQRT(1-EXP(-2*Sheet1!$M$103*Sheet1!$M$105/A842^2))</f>
        <v>11.832629137299604</v>
      </c>
    </row>
    <row r="843" spans="1:2">
      <c r="A843" s="19">
        <f t="shared" si="12"/>
        <v>14.329999999999822</v>
      </c>
      <c r="B843" s="108">
        <f>A843*SQRT(1-EXP(-2*Sheet1!$M$103*Sheet1!$M$105/A843^2))</f>
        <v>11.83648149175227</v>
      </c>
    </row>
    <row r="844" spans="1:2">
      <c r="A844" s="19">
        <f t="shared" ref="A844:A907" si="13">A843+$B$7</f>
        <v>14.339999999999822</v>
      </c>
      <c r="B844" s="108">
        <f>A844*SQRT(1-EXP(-2*Sheet1!$M$103*Sheet1!$M$105/A844^2))</f>
        <v>11.840328223117496</v>
      </c>
    </row>
    <row r="845" spans="1:2">
      <c r="A845" s="19">
        <f t="shared" si="13"/>
        <v>14.349999999999822</v>
      </c>
      <c r="B845" s="108">
        <f>A845*SQRT(1-EXP(-2*Sheet1!$M$103*Sheet1!$M$105/A845^2))</f>
        <v>11.844169340357947</v>
      </c>
    </row>
    <row r="846" spans="1:2">
      <c r="A846" s="19">
        <f t="shared" si="13"/>
        <v>14.359999999999822</v>
      </c>
      <c r="B846" s="108">
        <f>A846*SQRT(1-EXP(-2*Sheet1!$M$103*Sheet1!$M$105/A846^2))</f>
        <v>11.848004852425774</v>
      </c>
    </row>
    <row r="847" spans="1:2">
      <c r="A847" s="19">
        <f t="shared" si="13"/>
        <v>14.369999999999822</v>
      </c>
      <c r="B847" s="108">
        <f>A847*SQRT(1-EXP(-2*Sheet1!$M$103*Sheet1!$M$105/A847^2))</f>
        <v>11.851834768262584</v>
      </c>
    </row>
    <row r="848" spans="1:2">
      <c r="A848" s="19">
        <f t="shared" si="13"/>
        <v>14.379999999999821</v>
      </c>
      <c r="B848" s="108">
        <f>A848*SQRT(1-EXP(-2*Sheet1!$M$103*Sheet1!$M$105/A848^2))</f>
        <v>11.855659096799418</v>
      </c>
    </row>
    <row r="849" spans="1:2">
      <c r="A849" s="19">
        <f t="shared" si="13"/>
        <v>14.389999999999821</v>
      </c>
      <c r="B849" s="108">
        <f>A849*SQRT(1-EXP(-2*Sheet1!$M$103*Sheet1!$M$105/A849^2))</f>
        <v>11.859477846956734</v>
      </c>
    </row>
    <row r="850" spans="1:2">
      <c r="A850" s="19">
        <f t="shared" si="13"/>
        <v>14.399999999999821</v>
      </c>
      <c r="B850" s="108">
        <f>A850*SQRT(1-EXP(-2*Sheet1!$M$103*Sheet1!$M$105/A850^2))</f>
        <v>11.863291027644376</v>
      </c>
    </row>
    <row r="851" spans="1:2">
      <c r="A851" s="19">
        <f t="shared" si="13"/>
        <v>14.409999999999821</v>
      </c>
      <c r="B851" s="108">
        <f>A851*SQRT(1-EXP(-2*Sheet1!$M$103*Sheet1!$M$105/A851^2))</f>
        <v>11.867098647761559</v>
      </c>
    </row>
    <row r="852" spans="1:2">
      <c r="A852" s="19">
        <f t="shared" si="13"/>
        <v>14.419999999999821</v>
      </c>
      <c r="B852" s="108">
        <f>A852*SQRT(1-EXP(-2*Sheet1!$M$103*Sheet1!$M$105/A852^2))</f>
        <v>11.870900716196845</v>
      </c>
    </row>
    <row r="853" spans="1:2">
      <c r="A853" s="19">
        <f t="shared" si="13"/>
        <v>14.42999999999982</v>
      </c>
      <c r="B853" s="108">
        <f>A853*SQRT(1-EXP(-2*Sheet1!$M$103*Sheet1!$M$105/A853^2))</f>
        <v>11.874697241828118</v>
      </c>
    </row>
    <row r="854" spans="1:2">
      <c r="A854" s="19">
        <f t="shared" si="13"/>
        <v>14.43999999999982</v>
      </c>
      <c r="B854" s="108">
        <f>A854*SQRT(1-EXP(-2*Sheet1!$M$103*Sheet1!$M$105/A854^2))</f>
        <v>11.878488233522575</v>
      </c>
    </row>
    <row r="855" spans="1:2">
      <c r="A855" s="19">
        <f t="shared" si="13"/>
        <v>14.44999999999982</v>
      </c>
      <c r="B855" s="108">
        <f>A855*SQRT(1-EXP(-2*Sheet1!$M$103*Sheet1!$M$105/A855^2))</f>
        <v>11.882273700136684</v>
      </c>
    </row>
    <row r="856" spans="1:2">
      <c r="A856" s="19">
        <f t="shared" si="13"/>
        <v>14.45999999999982</v>
      </c>
      <c r="B856" s="108">
        <f>A856*SQRT(1-EXP(-2*Sheet1!$M$103*Sheet1!$M$105/A856^2))</f>
        <v>11.886053650516194</v>
      </c>
    </row>
    <row r="857" spans="1:2">
      <c r="A857" s="19">
        <f t="shared" si="13"/>
        <v>14.469999999999819</v>
      </c>
      <c r="B857" s="108">
        <f>A857*SQRT(1-EXP(-2*Sheet1!$M$103*Sheet1!$M$105/A857^2))</f>
        <v>11.889828093496083</v>
      </c>
    </row>
    <row r="858" spans="1:2">
      <c r="A858" s="19">
        <f t="shared" si="13"/>
        <v>14.479999999999819</v>
      </c>
      <c r="B858" s="108">
        <f>A858*SQRT(1-EXP(-2*Sheet1!$M$103*Sheet1!$M$105/A858^2))</f>
        <v>11.893597037900557</v>
      </c>
    </row>
    <row r="859" spans="1:2">
      <c r="A859" s="19">
        <f t="shared" si="13"/>
        <v>14.489999999999819</v>
      </c>
      <c r="B859" s="108">
        <f>A859*SQRT(1-EXP(-2*Sheet1!$M$103*Sheet1!$M$105/A859^2))</f>
        <v>11.897360492543033</v>
      </c>
    </row>
    <row r="860" spans="1:2">
      <c r="A860" s="19">
        <f t="shared" si="13"/>
        <v>14.499999999999819</v>
      </c>
      <c r="B860" s="108">
        <f>A860*SQRT(1-EXP(-2*Sheet1!$M$103*Sheet1!$M$105/A860^2))</f>
        <v>11.901118466226105</v>
      </c>
    </row>
    <row r="861" spans="1:2">
      <c r="A861" s="19">
        <f t="shared" si="13"/>
        <v>14.509999999999819</v>
      </c>
      <c r="B861" s="108">
        <f>A861*SQRT(1-EXP(-2*Sheet1!$M$103*Sheet1!$M$105/A861^2))</f>
        <v>11.904870967741536</v>
      </c>
    </row>
    <row r="862" spans="1:2">
      <c r="A862" s="19">
        <f t="shared" si="13"/>
        <v>14.519999999999818</v>
      </c>
      <c r="B862" s="108">
        <f>A862*SQRT(1-EXP(-2*Sheet1!$M$103*Sheet1!$M$105/A862^2))</f>
        <v>11.908618005870236</v>
      </c>
    </row>
    <row r="863" spans="1:2">
      <c r="A863" s="19">
        <f t="shared" si="13"/>
        <v>14.529999999999818</v>
      </c>
      <c r="B863" s="108">
        <f>A863*SQRT(1-EXP(-2*Sheet1!$M$103*Sheet1!$M$105/A863^2))</f>
        <v>11.91235958938225</v>
      </c>
    </row>
    <row r="864" spans="1:2">
      <c r="A864" s="19">
        <f t="shared" si="13"/>
        <v>14.539999999999818</v>
      </c>
      <c r="B864" s="108">
        <f>A864*SQRT(1-EXP(-2*Sheet1!$M$103*Sheet1!$M$105/A864^2))</f>
        <v>11.916095727036726</v>
      </c>
    </row>
    <row r="865" spans="1:2">
      <c r="A865" s="19">
        <f t="shared" si="13"/>
        <v>14.549999999999818</v>
      </c>
      <c r="B865" s="108">
        <f>A865*SQRT(1-EXP(-2*Sheet1!$M$103*Sheet1!$M$105/A865^2))</f>
        <v>11.91982642758191</v>
      </c>
    </row>
    <row r="866" spans="1:2">
      <c r="A866" s="19">
        <f t="shared" si="13"/>
        <v>14.559999999999818</v>
      </c>
      <c r="B866" s="108">
        <f>A866*SQRT(1-EXP(-2*Sheet1!$M$103*Sheet1!$M$105/A866^2))</f>
        <v>11.923551699755127</v>
      </c>
    </row>
    <row r="867" spans="1:2">
      <c r="A867" s="19">
        <f t="shared" si="13"/>
        <v>14.569999999999817</v>
      </c>
      <c r="B867" s="108">
        <f>A867*SQRT(1-EXP(-2*Sheet1!$M$103*Sheet1!$M$105/A867^2))</f>
        <v>11.927271552282754</v>
      </c>
    </row>
    <row r="868" spans="1:2">
      <c r="A868" s="19">
        <f t="shared" si="13"/>
        <v>14.579999999999817</v>
      </c>
      <c r="B868" s="108">
        <f>A868*SQRT(1-EXP(-2*Sheet1!$M$103*Sheet1!$M$105/A868^2))</f>
        <v>11.930985993880217</v>
      </c>
    </row>
    <row r="869" spans="1:2">
      <c r="A869" s="19">
        <f t="shared" si="13"/>
        <v>14.589999999999817</v>
      </c>
      <c r="B869" s="108">
        <f>A869*SQRT(1-EXP(-2*Sheet1!$M$103*Sheet1!$M$105/A869^2))</f>
        <v>11.934695033251966</v>
      </c>
    </row>
    <row r="870" spans="1:2">
      <c r="A870" s="19">
        <f t="shared" si="13"/>
        <v>14.599999999999817</v>
      </c>
      <c r="B870" s="108">
        <f>A870*SQRT(1-EXP(-2*Sheet1!$M$103*Sheet1!$M$105/A870^2))</f>
        <v>11.938398679091454</v>
      </c>
    </row>
    <row r="871" spans="1:2">
      <c r="A871" s="19">
        <f t="shared" si="13"/>
        <v>14.609999999999816</v>
      </c>
      <c r="B871" s="108">
        <f>A871*SQRT(1-EXP(-2*Sheet1!$M$103*Sheet1!$M$105/A871^2))</f>
        <v>11.942096940081138</v>
      </c>
    </row>
    <row r="872" spans="1:2">
      <c r="A872" s="19">
        <f t="shared" si="13"/>
        <v>14.619999999999816</v>
      </c>
      <c r="B872" s="108">
        <f>A872*SQRT(1-EXP(-2*Sheet1!$M$103*Sheet1!$M$105/A872^2))</f>
        <v>11.945789824892442</v>
      </c>
    </row>
    <row r="873" spans="1:2">
      <c r="A873" s="19">
        <f t="shared" si="13"/>
        <v>14.629999999999816</v>
      </c>
      <c r="B873" s="108">
        <f>A873*SQRT(1-EXP(-2*Sheet1!$M$103*Sheet1!$M$105/A873^2))</f>
        <v>11.949477342185759</v>
      </c>
    </row>
    <row r="874" spans="1:2">
      <c r="A874" s="19">
        <f t="shared" si="13"/>
        <v>14.639999999999816</v>
      </c>
      <c r="B874" s="108">
        <f>A874*SQRT(1-EXP(-2*Sheet1!$M$103*Sheet1!$M$105/A874^2))</f>
        <v>11.953159500610424</v>
      </c>
    </row>
    <row r="875" spans="1:2">
      <c r="A875" s="19">
        <f t="shared" si="13"/>
        <v>14.649999999999816</v>
      </c>
      <c r="B875" s="108">
        <f>A875*SQRT(1-EXP(-2*Sheet1!$M$103*Sheet1!$M$105/A875^2))</f>
        <v>11.956836308804704</v>
      </c>
    </row>
    <row r="876" spans="1:2">
      <c r="A876" s="19">
        <f t="shared" si="13"/>
        <v>14.659999999999815</v>
      </c>
      <c r="B876" s="108">
        <f>A876*SQRT(1-EXP(-2*Sheet1!$M$103*Sheet1!$M$105/A876^2))</f>
        <v>11.960507775395783</v>
      </c>
    </row>
    <row r="877" spans="1:2">
      <c r="A877" s="19">
        <f t="shared" si="13"/>
        <v>14.669999999999815</v>
      </c>
      <c r="B877" s="108">
        <f>A877*SQRT(1-EXP(-2*Sheet1!$M$103*Sheet1!$M$105/A877^2))</f>
        <v>11.964173908999751</v>
      </c>
    </row>
    <row r="878" spans="1:2">
      <c r="A878" s="19">
        <f t="shared" si="13"/>
        <v>14.679999999999815</v>
      </c>
      <c r="B878" s="108">
        <f>A878*SQRT(1-EXP(-2*Sheet1!$M$103*Sheet1!$M$105/A878^2))</f>
        <v>11.96783471822158</v>
      </c>
    </row>
    <row r="879" spans="1:2">
      <c r="A879" s="19">
        <f t="shared" si="13"/>
        <v>14.689999999999815</v>
      </c>
      <c r="B879" s="108">
        <f>A879*SQRT(1-EXP(-2*Sheet1!$M$103*Sheet1!$M$105/A879^2))</f>
        <v>11.971490211655121</v>
      </c>
    </row>
    <row r="880" spans="1:2">
      <c r="A880" s="19">
        <f t="shared" si="13"/>
        <v>14.699999999999815</v>
      </c>
      <c r="B880" s="108">
        <f>A880*SQRT(1-EXP(-2*Sheet1!$M$103*Sheet1!$M$105/A880^2))</f>
        <v>11.975140397883081</v>
      </c>
    </row>
    <row r="881" spans="1:2">
      <c r="A881" s="19">
        <f t="shared" si="13"/>
        <v>14.709999999999814</v>
      </c>
      <c r="B881" s="108">
        <f>A881*SQRT(1-EXP(-2*Sheet1!$M$103*Sheet1!$M$105/A881^2))</f>
        <v>11.978785285477015</v>
      </c>
    </row>
    <row r="882" spans="1:2">
      <c r="A882" s="19">
        <f t="shared" si="13"/>
        <v>14.719999999999814</v>
      </c>
      <c r="B882" s="108">
        <f>A882*SQRT(1-EXP(-2*Sheet1!$M$103*Sheet1!$M$105/A882^2))</f>
        <v>11.982424882997316</v>
      </c>
    </row>
    <row r="883" spans="1:2">
      <c r="A883" s="19">
        <f t="shared" si="13"/>
        <v>14.729999999999814</v>
      </c>
      <c r="B883" s="108">
        <f>A883*SQRT(1-EXP(-2*Sheet1!$M$103*Sheet1!$M$105/A883^2))</f>
        <v>11.986059198993189</v>
      </c>
    </row>
    <row r="884" spans="1:2">
      <c r="A884" s="19">
        <f t="shared" si="13"/>
        <v>14.739999999999814</v>
      </c>
      <c r="B884" s="108">
        <f>A884*SQRT(1-EXP(-2*Sheet1!$M$103*Sheet1!$M$105/A884^2))</f>
        <v>11.989688242002654</v>
      </c>
    </row>
    <row r="885" spans="1:2">
      <c r="A885" s="19">
        <f t="shared" si="13"/>
        <v>14.749999999999813</v>
      </c>
      <c r="B885" s="108">
        <f>A885*SQRT(1-EXP(-2*Sheet1!$M$103*Sheet1!$M$105/A885^2))</f>
        <v>11.993312020552523</v>
      </c>
    </row>
    <row r="886" spans="1:2">
      <c r="A886" s="19">
        <f t="shared" si="13"/>
        <v>14.759999999999813</v>
      </c>
      <c r="B886" s="108">
        <f>A886*SQRT(1-EXP(-2*Sheet1!$M$103*Sheet1!$M$105/A886^2))</f>
        <v>11.996930543158395</v>
      </c>
    </row>
    <row r="887" spans="1:2">
      <c r="A887" s="19">
        <f t="shared" si="13"/>
        <v>14.769999999999813</v>
      </c>
      <c r="B887" s="108">
        <f>A887*SQRT(1-EXP(-2*Sheet1!$M$103*Sheet1!$M$105/A887^2))</f>
        <v>12.000543818324633</v>
      </c>
    </row>
    <row r="888" spans="1:2">
      <c r="A888" s="19">
        <f t="shared" si="13"/>
        <v>14.779999999999813</v>
      </c>
      <c r="B888" s="108">
        <f>A888*SQRT(1-EXP(-2*Sheet1!$M$103*Sheet1!$M$105/A888^2))</f>
        <v>12.004151854544366</v>
      </c>
    </row>
    <row r="889" spans="1:2">
      <c r="A889" s="19">
        <f t="shared" si="13"/>
        <v>14.789999999999813</v>
      </c>
      <c r="B889" s="108">
        <f>A889*SQRT(1-EXP(-2*Sheet1!$M$103*Sheet1!$M$105/A889^2))</f>
        <v>12.007754660299469</v>
      </c>
    </row>
    <row r="890" spans="1:2">
      <c r="A890" s="19">
        <f t="shared" si="13"/>
        <v>14.799999999999812</v>
      </c>
      <c r="B890" s="108">
        <f>A890*SQRT(1-EXP(-2*Sheet1!$M$103*Sheet1!$M$105/A890^2))</f>
        <v>12.01135224406055</v>
      </c>
    </row>
    <row r="891" spans="1:2">
      <c r="A891" s="19">
        <f t="shared" si="13"/>
        <v>14.809999999999812</v>
      </c>
      <c r="B891" s="108">
        <f>A891*SQRT(1-EXP(-2*Sheet1!$M$103*Sheet1!$M$105/A891^2))</f>
        <v>12.014944614286952</v>
      </c>
    </row>
    <row r="892" spans="1:2">
      <c r="A892" s="19">
        <f t="shared" si="13"/>
        <v>14.819999999999812</v>
      </c>
      <c r="B892" s="108">
        <f>A892*SQRT(1-EXP(-2*Sheet1!$M$103*Sheet1!$M$105/A892^2))</f>
        <v>12.018531779426716</v>
      </c>
    </row>
    <row r="893" spans="1:2">
      <c r="A893" s="19">
        <f t="shared" si="13"/>
        <v>14.829999999999812</v>
      </c>
      <c r="B893" s="108">
        <f>A893*SQRT(1-EXP(-2*Sheet1!$M$103*Sheet1!$M$105/A893^2))</f>
        <v>12.022113747916608</v>
      </c>
    </row>
    <row r="894" spans="1:2">
      <c r="A894" s="19">
        <f t="shared" si="13"/>
        <v>14.839999999999812</v>
      </c>
      <c r="B894" s="108">
        <f>A894*SQRT(1-EXP(-2*Sheet1!$M$103*Sheet1!$M$105/A894^2))</f>
        <v>12.025690528182068</v>
      </c>
    </row>
    <row r="895" spans="1:2">
      <c r="A895" s="19">
        <f t="shared" si="13"/>
        <v>14.849999999999811</v>
      </c>
      <c r="B895" s="108">
        <f>A895*SQRT(1-EXP(-2*Sheet1!$M$103*Sheet1!$M$105/A895^2))</f>
        <v>12.029262128637237</v>
      </c>
    </row>
    <row r="896" spans="1:2">
      <c r="A896" s="19">
        <f t="shared" si="13"/>
        <v>14.859999999999811</v>
      </c>
      <c r="B896" s="108">
        <f>A896*SQRT(1-EXP(-2*Sheet1!$M$103*Sheet1!$M$105/A896^2))</f>
        <v>12.032828557684915</v>
      </c>
    </row>
    <row r="897" spans="1:2">
      <c r="A897" s="19">
        <f t="shared" si="13"/>
        <v>14.869999999999811</v>
      </c>
      <c r="B897" s="108">
        <f>A897*SQRT(1-EXP(-2*Sheet1!$M$103*Sheet1!$M$105/A897^2))</f>
        <v>12.036389823716577</v>
      </c>
    </row>
    <row r="898" spans="1:2">
      <c r="A898" s="19">
        <f t="shared" si="13"/>
        <v>14.879999999999811</v>
      </c>
      <c r="B898" s="108">
        <f>A898*SQRT(1-EXP(-2*Sheet1!$M$103*Sheet1!$M$105/A898^2))</f>
        <v>12.039945935112348</v>
      </c>
    </row>
    <row r="899" spans="1:2">
      <c r="A899" s="19">
        <f t="shared" si="13"/>
        <v>14.88999999999981</v>
      </c>
      <c r="B899" s="108">
        <f>A899*SQRT(1-EXP(-2*Sheet1!$M$103*Sheet1!$M$105/A899^2))</f>
        <v>12.043496900240996</v>
      </c>
    </row>
    <row r="900" spans="1:2">
      <c r="A900" s="19">
        <f t="shared" si="13"/>
        <v>14.89999999999981</v>
      </c>
      <c r="B900" s="108">
        <f>A900*SQRT(1-EXP(-2*Sheet1!$M$103*Sheet1!$M$105/A900^2))</f>
        <v>12.04704272745993</v>
      </c>
    </row>
    <row r="901" spans="1:2">
      <c r="A901" s="19">
        <f t="shared" si="13"/>
        <v>14.90999999999981</v>
      </c>
      <c r="B901" s="108">
        <f>A901*SQRT(1-EXP(-2*Sheet1!$M$103*Sheet1!$M$105/A901^2))</f>
        <v>12.050583425115184</v>
      </c>
    </row>
    <row r="902" spans="1:2">
      <c r="A902" s="19">
        <f t="shared" si="13"/>
        <v>14.91999999999981</v>
      </c>
      <c r="B902" s="108">
        <f>A902*SQRT(1-EXP(-2*Sheet1!$M$103*Sheet1!$M$105/A902^2))</f>
        <v>12.054119001541411</v>
      </c>
    </row>
    <row r="903" spans="1:2">
      <c r="A903" s="19">
        <f t="shared" si="13"/>
        <v>14.92999999999981</v>
      </c>
      <c r="B903" s="108">
        <f>A903*SQRT(1-EXP(-2*Sheet1!$M$103*Sheet1!$M$105/A903^2))</f>
        <v>12.057649465061877</v>
      </c>
    </row>
    <row r="904" spans="1:2">
      <c r="A904" s="19">
        <f t="shared" si="13"/>
        <v>14.939999999999809</v>
      </c>
      <c r="B904" s="108">
        <f>A904*SQRT(1-EXP(-2*Sheet1!$M$103*Sheet1!$M$105/A904^2))</f>
        <v>12.061174823988448</v>
      </c>
    </row>
    <row r="905" spans="1:2">
      <c r="A905" s="19">
        <f t="shared" si="13"/>
        <v>14.949999999999809</v>
      </c>
      <c r="B905" s="108">
        <f>A905*SQRT(1-EXP(-2*Sheet1!$M$103*Sheet1!$M$105/A905^2))</f>
        <v>12.06469508662159</v>
      </c>
    </row>
    <row r="906" spans="1:2">
      <c r="A906" s="19">
        <f t="shared" si="13"/>
        <v>14.959999999999809</v>
      </c>
      <c r="B906" s="108">
        <f>A906*SQRT(1-EXP(-2*Sheet1!$M$103*Sheet1!$M$105/A906^2))</f>
        <v>12.068210261250345</v>
      </c>
    </row>
    <row r="907" spans="1:2">
      <c r="A907" s="19">
        <f t="shared" si="13"/>
        <v>14.969999999999809</v>
      </c>
      <c r="B907" s="108">
        <f>A907*SQRT(1-EXP(-2*Sheet1!$M$103*Sheet1!$M$105/A907^2))</f>
        <v>12.071720356152344</v>
      </c>
    </row>
    <row r="908" spans="1:2">
      <c r="A908" s="19">
        <f t="shared" ref="A908:A971" si="14">A907+$B$7</f>
        <v>14.979999999999809</v>
      </c>
      <c r="B908" s="108">
        <f>A908*SQRT(1-EXP(-2*Sheet1!$M$103*Sheet1!$M$105/A908^2))</f>
        <v>12.075225379593787</v>
      </c>
    </row>
    <row r="909" spans="1:2">
      <c r="A909" s="19">
        <f t="shared" si="14"/>
        <v>14.989999999999808</v>
      </c>
      <c r="B909" s="108">
        <f>A909*SQRT(1-EXP(-2*Sheet1!$M$103*Sheet1!$M$105/A909^2))</f>
        <v>12.07872533982944</v>
      </c>
    </row>
    <row r="910" spans="1:2">
      <c r="A910" s="19">
        <f t="shared" si="14"/>
        <v>14.999999999999808</v>
      </c>
      <c r="B910" s="108">
        <f>A910*SQRT(1-EXP(-2*Sheet1!$M$103*Sheet1!$M$105/A910^2))</f>
        <v>12.08222024510262</v>
      </c>
    </row>
    <row r="911" spans="1:2">
      <c r="A911" s="19">
        <f t="shared" si="14"/>
        <v>15.009999999999808</v>
      </c>
      <c r="B911" s="108">
        <f>A911*SQRT(1-EXP(-2*Sheet1!$M$103*Sheet1!$M$105/A911^2))</f>
        <v>12.085710103645212</v>
      </c>
    </row>
    <row r="912" spans="1:2">
      <c r="A912" s="19">
        <f t="shared" si="14"/>
        <v>15.019999999999808</v>
      </c>
      <c r="B912" s="108">
        <f>A912*SQRT(1-EXP(-2*Sheet1!$M$103*Sheet1!$M$105/A912^2))</f>
        <v>12.089194923677626</v>
      </c>
    </row>
    <row r="913" spans="1:2">
      <c r="A913" s="19">
        <f t="shared" si="14"/>
        <v>15.029999999999808</v>
      </c>
      <c r="B913" s="108">
        <f>A913*SQRT(1-EXP(-2*Sheet1!$M$103*Sheet1!$M$105/A913^2))</f>
        <v>12.092674713408826</v>
      </c>
    </row>
    <row r="914" spans="1:2">
      <c r="A914" s="19">
        <f t="shared" si="14"/>
        <v>15.039999999999807</v>
      </c>
      <c r="B914" s="108">
        <f>A914*SQRT(1-EXP(-2*Sheet1!$M$103*Sheet1!$M$105/A914^2))</f>
        <v>12.096149481036296</v>
      </c>
    </row>
    <row r="915" spans="1:2">
      <c r="A915" s="19">
        <f t="shared" si="14"/>
        <v>15.049999999999807</v>
      </c>
      <c r="B915" s="108">
        <f>A915*SQRT(1-EXP(-2*Sheet1!$M$103*Sheet1!$M$105/A915^2))</f>
        <v>12.09961923474606</v>
      </c>
    </row>
    <row r="916" spans="1:2">
      <c r="A916" s="19">
        <f t="shared" si="14"/>
        <v>15.059999999999807</v>
      </c>
      <c r="B916" s="108">
        <f>A916*SQRT(1-EXP(-2*Sheet1!$M$103*Sheet1!$M$105/A916^2))</f>
        <v>12.103083982712651</v>
      </c>
    </row>
    <row r="917" spans="1:2">
      <c r="A917" s="19">
        <f t="shared" si="14"/>
        <v>15.069999999999807</v>
      </c>
      <c r="B917" s="108">
        <f>A917*SQRT(1-EXP(-2*Sheet1!$M$103*Sheet1!$M$105/A917^2))</f>
        <v>12.106543733099123</v>
      </c>
    </row>
    <row r="918" spans="1:2">
      <c r="A918" s="19">
        <f t="shared" si="14"/>
        <v>15.079999999999806</v>
      </c>
      <c r="B918" s="108">
        <f>A918*SQRT(1-EXP(-2*Sheet1!$M$103*Sheet1!$M$105/A918^2))</f>
        <v>12.10999849405704</v>
      </c>
    </row>
    <row r="919" spans="1:2">
      <c r="A919" s="19">
        <f t="shared" si="14"/>
        <v>15.089999999999806</v>
      </c>
      <c r="B919" s="108">
        <f>A919*SQRT(1-EXP(-2*Sheet1!$M$103*Sheet1!$M$105/A919^2))</f>
        <v>12.113448273726471</v>
      </c>
    </row>
    <row r="920" spans="1:2">
      <c r="A920" s="19">
        <f t="shared" si="14"/>
        <v>15.099999999999806</v>
      </c>
      <c r="B920" s="108">
        <f>A920*SQRT(1-EXP(-2*Sheet1!$M$103*Sheet1!$M$105/A920^2))</f>
        <v>12.116893080235982</v>
      </c>
    </row>
    <row r="921" spans="1:2">
      <c r="A921" s="19">
        <f t="shared" si="14"/>
        <v>15.109999999999806</v>
      </c>
      <c r="B921" s="108">
        <f>A921*SQRT(1-EXP(-2*Sheet1!$M$103*Sheet1!$M$105/A921^2))</f>
        <v>12.120332921702637</v>
      </c>
    </row>
    <row r="922" spans="1:2">
      <c r="A922" s="19">
        <f t="shared" si="14"/>
        <v>15.119999999999806</v>
      </c>
      <c r="B922" s="108">
        <f>A922*SQRT(1-EXP(-2*Sheet1!$M$103*Sheet1!$M$105/A922^2))</f>
        <v>12.12376780623199</v>
      </c>
    </row>
    <row r="923" spans="1:2">
      <c r="A923" s="19">
        <f t="shared" si="14"/>
        <v>15.129999999999805</v>
      </c>
      <c r="B923" s="108">
        <f>A923*SQRT(1-EXP(-2*Sheet1!$M$103*Sheet1!$M$105/A923^2))</f>
        <v>12.127197741918085</v>
      </c>
    </row>
    <row r="924" spans="1:2">
      <c r="A924" s="19">
        <f t="shared" si="14"/>
        <v>15.139999999999805</v>
      </c>
      <c r="B924" s="108">
        <f>A924*SQRT(1-EXP(-2*Sheet1!$M$103*Sheet1!$M$105/A924^2))</f>
        <v>12.130622736843439</v>
      </c>
    </row>
    <row r="925" spans="1:2">
      <c r="A925" s="19">
        <f t="shared" si="14"/>
        <v>15.149999999999805</v>
      </c>
      <c r="B925" s="108">
        <f>A925*SQRT(1-EXP(-2*Sheet1!$M$103*Sheet1!$M$105/A925^2))</f>
        <v>12.134042799079054</v>
      </c>
    </row>
    <row r="926" spans="1:2">
      <c r="A926" s="19">
        <f t="shared" si="14"/>
        <v>15.159999999999805</v>
      </c>
      <c r="B926" s="108">
        <f>A926*SQRT(1-EXP(-2*Sheet1!$M$103*Sheet1!$M$105/A926^2))</f>
        <v>12.137457936684408</v>
      </c>
    </row>
    <row r="927" spans="1:2">
      <c r="A927" s="19">
        <f t="shared" si="14"/>
        <v>15.169999999999805</v>
      </c>
      <c r="B927" s="108">
        <f>A927*SQRT(1-EXP(-2*Sheet1!$M$103*Sheet1!$M$105/A927^2))</f>
        <v>12.140868157707441</v>
      </c>
    </row>
    <row r="928" spans="1:2">
      <c r="A928" s="19">
        <f t="shared" si="14"/>
        <v>15.179999999999804</v>
      </c>
      <c r="B928" s="108">
        <f>A928*SQRT(1-EXP(-2*Sheet1!$M$103*Sheet1!$M$105/A928^2))</f>
        <v>12.144273470184569</v>
      </c>
    </row>
    <row r="929" spans="1:2">
      <c r="A929" s="19">
        <f t="shared" si="14"/>
        <v>15.189999999999804</v>
      </c>
      <c r="B929" s="108">
        <f>A929*SQRT(1-EXP(-2*Sheet1!$M$103*Sheet1!$M$105/A929^2))</f>
        <v>12.147673882140666</v>
      </c>
    </row>
    <row r="930" spans="1:2">
      <c r="A930" s="19">
        <f t="shared" si="14"/>
        <v>15.199999999999804</v>
      </c>
      <c r="B930" s="108">
        <f>A930*SQRT(1-EXP(-2*Sheet1!$M$103*Sheet1!$M$105/A930^2))</f>
        <v>12.151069401589071</v>
      </c>
    </row>
    <row r="931" spans="1:2">
      <c r="A931" s="19">
        <f t="shared" si="14"/>
        <v>15.209999999999804</v>
      </c>
      <c r="B931" s="108">
        <f>A931*SQRT(1-EXP(-2*Sheet1!$M$103*Sheet1!$M$105/A931^2))</f>
        <v>12.154460036531578</v>
      </c>
    </row>
    <row r="932" spans="1:2">
      <c r="A932" s="19">
        <f t="shared" si="14"/>
        <v>15.219999999999803</v>
      </c>
      <c r="B932" s="108">
        <f>A932*SQRT(1-EXP(-2*Sheet1!$M$103*Sheet1!$M$105/A932^2))</f>
        <v>12.157845794958435</v>
      </c>
    </row>
    <row r="933" spans="1:2">
      <c r="A933" s="19">
        <f t="shared" si="14"/>
        <v>15.229999999999803</v>
      </c>
      <c r="B933" s="108">
        <f>A933*SQRT(1-EXP(-2*Sheet1!$M$103*Sheet1!$M$105/A933^2))</f>
        <v>12.161226684848343</v>
      </c>
    </row>
    <row r="934" spans="1:2">
      <c r="A934" s="19">
        <f t="shared" si="14"/>
        <v>15.239999999999803</v>
      </c>
      <c r="B934" s="108">
        <f>A934*SQRT(1-EXP(-2*Sheet1!$M$103*Sheet1!$M$105/A934^2))</f>
        <v>12.164602714168455</v>
      </c>
    </row>
    <row r="935" spans="1:2">
      <c r="A935" s="19">
        <f t="shared" si="14"/>
        <v>15.249999999999803</v>
      </c>
      <c r="B935" s="108">
        <f>A935*SQRT(1-EXP(-2*Sheet1!$M$103*Sheet1!$M$105/A935^2))</f>
        <v>12.16797389087437</v>
      </c>
    </row>
    <row r="936" spans="1:2">
      <c r="A936" s="19">
        <f t="shared" si="14"/>
        <v>15.259999999999803</v>
      </c>
      <c r="B936" s="108">
        <f>A936*SQRT(1-EXP(-2*Sheet1!$M$103*Sheet1!$M$105/A936^2))</f>
        <v>12.171340222910134</v>
      </c>
    </row>
    <row r="937" spans="1:2">
      <c r="A937" s="19">
        <f t="shared" si="14"/>
        <v>15.269999999999802</v>
      </c>
      <c r="B937" s="108">
        <f>A937*SQRT(1-EXP(-2*Sheet1!$M$103*Sheet1!$M$105/A937^2))</f>
        <v>12.174701718208231</v>
      </c>
    </row>
    <row r="938" spans="1:2">
      <c r="A938" s="19">
        <f t="shared" si="14"/>
        <v>15.279999999999802</v>
      </c>
      <c r="B938" s="108">
        <f>A938*SQRT(1-EXP(-2*Sheet1!$M$103*Sheet1!$M$105/A938^2))</f>
        <v>12.178058384689596</v>
      </c>
    </row>
    <row r="939" spans="1:2">
      <c r="A939" s="19">
        <f t="shared" si="14"/>
        <v>15.289999999999802</v>
      </c>
      <c r="B939" s="108">
        <f>A939*SQRT(1-EXP(-2*Sheet1!$M$103*Sheet1!$M$105/A939^2))</f>
        <v>12.181410230263593</v>
      </c>
    </row>
    <row r="940" spans="1:2">
      <c r="A940" s="19">
        <f t="shared" si="14"/>
        <v>15.299999999999802</v>
      </c>
      <c r="B940" s="108">
        <f>A940*SQRT(1-EXP(-2*Sheet1!$M$103*Sheet1!$M$105/A940^2))</f>
        <v>12.184757262828038</v>
      </c>
    </row>
    <row r="941" spans="1:2">
      <c r="A941" s="19">
        <f t="shared" si="14"/>
        <v>15.309999999999802</v>
      </c>
      <c r="B941" s="108">
        <f>A941*SQRT(1-EXP(-2*Sheet1!$M$103*Sheet1!$M$105/A941^2))</f>
        <v>12.188099490269172</v>
      </c>
    </row>
    <row r="942" spans="1:2">
      <c r="A942" s="19">
        <f t="shared" si="14"/>
        <v>15.319999999999801</v>
      </c>
      <c r="B942" s="108">
        <f>A942*SQRT(1-EXP(-2*Sheet1!$M$103*Sheet1!$M$105/A942^2))</f>
        <v>12.191436920461676</v>
      </c>
    </row>
    <row r="943" spans="1:2">
      <c r="A943" s="19">
        <f t="shared" si="14"/>
        <v>15.329999999999801</v>
      </c>
      <c r="B943" s="108">
        <f>A943*SQRT(1-EXP(-2*Sheet1!$M$103*Sheet1!$M$105/A943^2))</f>
        <v>12.194769561268673</v>
      </c>
    </row>
    <row r="944" spans="1:2">
      <c r="A944" s="19">
        <f t="shared" si="14"/>
        <v>15.339999999999801</v>
      </c>
      <c r="B944" s="108">
        <f>A944*SQRT(1-EXP(-2*Sheet1!$M$103*Sheet1!$M$105/A944^2))</f>
        <v>12.198097420541711</v>
      </c>
    </row>
    <row r="945" spans="1:2">
      <c r="A945" s="19">
        <f t="shared" si="14"/>
        <v>15.349999999999801</v>
      </c>
      <c r="B945" s="108">
        <f>A945*SQRT(1-EXP(-2*Sheet1!$M$103*Sheet1!$M$105/A945^2))</f>
        <v>12.201420506120776</v>
      </c>
    </row>
    <row r="946" spans="1:2">
      <c r="A946" s="19">
        <f t="shared" si="14"/>
        <v>15.3599999999998</v>
      </c>
      <c r="B946" s="108">
        <f>A946*SQRT(1-EXP(-2*Sheet1!$M$103*Sheet1!$M$105/A946^2))</f>
        <v>12.204738825834287</v>
      </c>
    </row>
    <row r="947" spans="1:2">
      <c r="A947" s="19">
        <f t="shared" si="14"/>
        <v>15.3699999999998</v>
      </c>
      <c r="B947" s="108">
        <f>A947*SQRT(1-EXP(-2*Sheet1!$M$103*Sheet1!$M$105/A947^2))</f>
        <v>12.2080523874991</v>
      </c>
    </row>
    <row r="948" spans="1:2">
      <c r="A948" s="19">
        <f t="shared" si="14"/>
        <v>15.3799999999998</v>
      </c>
      <c r="B948" s="108">
        <f>A948*SQRT(1-EXP(-2*Sheet1!$M$103*Sheet1!$M$105/A948^2))</f>
        <v>12.211361198920498</v>
      </c>
    </row>
    <row r="949" spans="1:2">
      <c r="A949" s="19">
        <f t="shared" si="14"/>
        <v>15.3899999999998</v>
      </c>
      <c r="B949" s="108">
        <f>A949*SQRT(1-EXP(-2*Sheet1!$M$103*Sheet1!$M$105/A949^2))</f>
        <v>12.214665267892194</v>
      </c>
    </row>
    <row r="950" spans="1:2">
      <c r="A950" s="19">
        <f t="shared" si="14"/>
        <v>15.3999999999998</v>
      </c>
      <c r="B950" s="108">
        <f>A950*SQRT(1-EXP(-2*Sheet1!$M$103*Sheet1!$M$105/A950^2))</f>
        <v>12.217964602196343</v>
      </c>
    </row>
    <row r="951" spans="1:2">
      <c r="A951" s="19">
        <f t="shared" si="14"/>
        <v>15.409999999999799</v>
      </c>
      <c r="B951" s="108">
        <f>A951*SQRT(1-EXP(-2*Sheet1!$M$103*Sheet1!$M$105/A951^2))</f>
        <v>12.221259209603526</v>
      </c>
    </row>
    <row r="952" spans="1:2">
      <c r="A952" s="19">
        <f t="shared" si="14"/>
        <v>15.419999999999799</v>
      </c>
      <c r="B952" s="108">
        <f>A952*SQRT(1-EXP(-2*Sheet1!$M$103*Sheet1!$M$105/A952^2))</f>
        <v>12.224549097872762</v>
      </c>
    </row>
    <row r="953" spans="1:2">
      <c r="A953" s="19">
        <f t="shared" si="14"/>
        <v>15.429999999999799</v>
      </c>
      <c r="B953" s="108">
        <f>A953*SQRT(1-EXP(-2*Sheet1!$M$103*Sheet1!$M$105/A953^2))</f>
        <v>12.227834274751498</v>
      </c>
    </row>
    <row r="954" spans="1:2">
      <c r="A954" s="19">
        <f t="shared" si="14"/>
        <v>15.439999999999799</v>
      </c>
      <c r="B954" s="108">
        <f>A954*SQRT(1-EXP(-2*Sheet1!$M$103*Sheet1!$M$105/A954^2))</f>
        <v>12.231114747975623</v>
      </c>
    </row>
    <row r="955" spans="1:2">
      <c r="A955" s="19">
        <f t="shared" si="14"/>
        <v>15.449999999999799</v>
      </c>
      <c r="B955" s="108">
        <f>A955*SQRT(1-EXP(-2*Sheet1!$M$103*Sheet1!$M$105/A955^2))</f>
        <v>12.234390525269456</v>
      </c>
    </row>
    <row r="956" spans="1:2">
      <c r="A956" s="19">
        <f t="shared" si="14"/>
        <v>15.459999999999798</v>
      </c>
      <c r="B956" s="108">
        <f>A956*SQRT(1-EXP(-2*Sheet1!$M$103*Sheet1!$M$105/A956^2))</f>
        <v>12.23766161434575</v>
      </c>
    </row>
    <row r="957" spans="1:2">
      <c r="A957" s="19">
        <f t="shared" si="14"/>
        <v>15.469999999999798</v>
      </c>
      <c r="B957" s="108">
        <f>A957*SQRT(1-EXP(-2*Sheet1!$M$103*Sheet1!$M$105/A957^2))</f>
        <v>12.240928022905704</v>
      </c>
    </row>
    <row r="958" spans="1:2">
      <c r="A958" s="19">
        <f t="shared" si="14"/>
        <v>15.479999999999798</v>
      </c>
      <c r="B958" s="108">
        <f>A958*SQRT(1-EXP(-2*Sheet1!$M$103*Sheet1!$M$105/A958^2))</f>
        <v>12.244189758638951</v>
      </c>
    </row>
    <row r="959" spans="1:2">
      <c r="A959" s="19">
        <f t="shared" si="14"/>
        <v>15.489999999999798</v>
      </c>
      <c r="B959" s="108">
        <f>A959*SQRT(1-EXP(-2*Sheet1!$M$103*Sheet1!$M$105/A959^2))</f>
        <v>12.247446829223561</v>
      </c>
    </row>
    <row r="960" spans="1:2">
      <c r="A960" s="19">
        <f t="shared" si="14"/>
        <v>15.499999999999797</v>
      </c>
      <c r="B960" s="108">
        <f>A960*SQRT(1-EXP(-2*Sheet1!$M$103*Sheet1!$M$105/A960^2))</f>
        <v>12.250699242326053</v>
      </c>
    </row>
    <row r="961" spans="1:2">
      <c r="A961" s="19">
        <f t="shared" si="14"/>
        <v>15.509999999999797</v>
      </c>
      <c r="B961" s="108">
        <f>A961*SQRT(1-EXP(-2*Sheet1!$M$103*Sheet1!$M$105/A961^2))</f>
        <v>12.253947005601383</v>
      </c>
    </row>
    <row r="962" spans="1:2">
      <c r="A962" s="19">
        <f t="shared" si="14"/>
        <v>15.519999999999797</v>
      </c>
      <c r="B962" s="108">
        <f>A962*SQRT(1-EXP(-2*Sheet1!$M$103*Sheet1!$M$105/A962^2))</f>
        <v>12.257190126692956</v>
      </c>
    </row>
    <row r="963" spans="1:2">
      <c r="A963" s="19">
        <f t="shared" si="14"/>
        <v>15.529999999999797</v>
      </c>
      <c r="B963" s="108">
        <f>A963*SQRT(1-EXP(-2*Sheet1!$M$103*Sheet1!$M$105/A963^2))</f>
        <v>12.260428613232618</v>
      </c>
    </row>
    <row r="964" spans="1:2">
      <c r="A964" s="19">
        <f t="shared" si="14"/>
        <v>15.539999999999797</v>
      </c>
      <c r="B964" s="108">
        <f>A964*SQRT(1-EXP(-2*Sheet1!$M$103*Sheet1!$M$105/A964^2))</f>
        <v>12.26366247284067</v>
      </c>
    </row>
    <row r="965" spans="1:2">
      <c r="A965" s="19">
        <f t="shared" si="14"/>
        <v>15.549999999999796</v>
      </c>
      <c r="B965" s="108">
        <f>A965*SQRT(1-EXP(-2*Sheet1!$M$103*Sheet1!$M$105/A965^2))</f>
        <v>12.266891713125867</v>
      </c>
    </row>
    <row r="966" spans="1:2">
      <c r="A966" s="19">
        <f t="shared" si="14"/>
        <v>15.559999999999796</v>
      </c>
      <c r="B966" s="108">
        <f>A966*SQRT(1-EXP(-2*Sheet1!$M$103*Sheet1!$M$105/A966^2))</f>
        <v>12.270116341685409</v>
      </c>
    </row>
    <row r="967" spans="1:2">
      <c r="A967" s="19">
        <f t="shared" si="14"/>
        <v>15.569999999999796</v>
      </c>
      <c r="B967" s="108">
        <f>A967*SQRT(1-EXP(-2*Sheet1!$M$103*Sheet1!$M$105/A967^2))</f>
        <v>12.273336366104957</v>
      </c>
    </row>
    <row r="968" spans="1:2">
      <c r="A968" s="19">
        <f t="shared" si="14"/>
        <v>15.579999999999796</v>
      </c>
      <c r="B968" s="108">
        <f>A968*SQRT(1-EXP(-2*Sheet1!$M$103*Sheet1!$M$105/A968^2))</f>
        <v>12.276551793958628</v>
      </c>
    </row>
    <row r="969" spans="1:2">
      <c r="A969" s="19">
        <f t="shared" si="14"/>
        <v>15.589999999999796</v>
      </c>
      <c r="B969" s="108">
        <f>A969*SQRT(1-EXP(-2*Sheet1!$M$103*Sheet1!$M$105/A969^2))</f>
        <v>12.279762632809005</v>
      </c>
    </row>
    <row r="970" spans="1:2">
      <c r="A970" s="19">
        <f t="shared" si="14"/>
        <v>15.599999999999795</v>
      </c>
      <c r="B970" s="108">
        <f>A970*SQRT(1-EXP(-2*Sheet1!$M$103*Sheet1!$M$105/A970^2))</f>
        <v>12.282968890207131</v>
      </c>
    </row>
    <row r="971" spans="1:2">
      <c r="A971" s="19">
        <f t="shared" si="14"/>
        <v>15.609999999999795</v>
      </c>
      <c r="B971" s="108">
        <f>A971*SQRT(1-EXP(-2*Sheet1!$M$103*Sheet1!$M$105/A971^2))</f>
        <v>12.286170573692518</v>
      </c>
    </row>
    <row r="972" spans="1:2">
      <c r="A972" s="19">
        <f t="shared" ref="A972:A1035" si="15">A971+$B$7</f>
        <v>15.619999999999795</v>
      </c>
      <c r="B972" s="108">
        <f>A972*SQRT(1-EXP(-2*Sheet1!$M$103*Sheet1!$M$105/A972^2))</f>
        <v>12.289367690793148</v>
      </c>
    </row>
    <row r="973" spans="1:2">
      <c r="A973" s="19">
        <f t="shared" si="15"/>
        <v>15.629999999999795</v>
      </c>
      <c r="B973" s="108">
        <f>A973*SQRT(1-EXP(-2*Sheet1!$M$103*Sheet1!$M$105/A973^2))</f>
        <v>12.292560249025474</v>
      </c>
    </row>
    <row r="974" spans="1:2">
      <c r="A974" s="19">
        <f t="shared" si="15"/>
        <v>15.639999999999795</v>
      </c>
      <c r="B974" s="108">
        <f>A974*SQRT(1-EXP(-2*Sheet1!$M$103*Sheet1!$M$105/A974^2))</f>
        <v>12.295748255894429</v>
      </c>
    </row>
    <row r="975" spans="1:2">
      <c r="A975" s="19">
        <f t="shared" si="15"/>
        <v>15.649999999999794</v>
      </c>
      <c r="B975" s="108">
        <f>A975*SQRT(1-EXP(-2*Sheet1!$M$103*Sheet1!$M$105/A975^2))</f>
        <v>12.298931718893426</v>
      </c>
    </row>
    <row r="976" spans="1:2">
      <c r="A976" s="19">
        <f t="shared" si="15"/>
        <v>15.659999999999794</v>
      </c>
      <c r="B976" s="108">
        <f>A976*SQRT(1-EXP(-2*Sheet1!$M$103*Sheet1!$M$105/A976^2))</f>
        <v>12.302110645504358</v>
      </c>
    </row>
    <row r="977" spans="1:2">
      <c r="A977" s="19">
        <f t="shared" si="15"/>
        <v>15.669999999999794</v>
      </c>
      <c r="B977" s="108">
        <f>A977*SQRT(1-EXP(-2*Sheet1!$M$103*Sheet1!$M$105/A977^2))</f>
        <v>12.30528504319761</v>
      </c>
    </row>
    <row r="978" spans="1:2">
      <c r="A978" s="19">
        <f t="shared" si="15"/>
        <v>15.679999999999794</v>
      </c>
      <c r="B978" s="108">
        <f>A978*SQRT(1-EXP(-2*Sheet1!$M$103*Sheet1!$M$105/A978^2))</f>
        <v>12.308454919432055</v>
      </c>
    </row>
    <row r="979" spans="1:2">
      <c r="A979" s="19">
        <f t="shared" si="15"/>
        <v>15.689999999999793</v>
      </c>
      <c r="B979" s="108">
        <f>A979*SQRT(1-EXP(-2*Sheet1!$M$103*Sheet1!$M$105/A979^2))</f>
        <v>12.311620281655065</v>
      </c>
    </row>
    <row r="980" spans="1:2">
      <c r="A980" s="19">
        <f t="shared" si="15"/>
        <v>15.699999999999793</v>
      </c>
      <c r="B980" s="108">
        <f>A980*SQRT(1-EXP(-2*Sheet1!$M$103*Sheet1!$M$105/A980^2))</f>
        <v>12.314781137302507</v>
      </c>
    </row>
    <row r="981" spans="1:2">
      <c r="A981" s="19">
        <f t="shared" si="15"/>
        <v>15.709999999999793</v>
      </c>
      <c r="B981" s="108">
        <f>A981*SQRT(1-EXP(-2*Sheet1!$M$103*Sheet1!$M$105/A981^2))</f>
        <v>12.317937493798754</v>
      </c>
    </row>
    <row r="982" spans="1:2">
      <c r="A982" s="19">
        <f t="shared" si="15"/>
        <v>15.719999999999793</v>
      </c>
      <c r="B982" s="108">
        <f>A982*SQRT(1-EXP(-2*Sheet1!$M$103*Sheet1!$M$105/A982^2))</f>
        <v>12.321089358556682</v>
      </c>
    </row>
    <row r="983" spans="1:2">
      <c r="A983" s="19">
        <f t="shared" si="15"/>
        <v>15.729999999999793</v>
      </c>
      <c r="B983" s="108">
        <f>A983*SQRT(1-EXP(-2*Sheet1!$M$103*Sheet1!$M$105/A983^2))</f>
        <v>12.324236738977689</v>
      </c>
    </row>
    <row r="984" spans="1:2">
      <c r="A984" s="19">
        <f t="shared" si="15"/>
        <v>15.739999999999792</v>
      </c>
      <c r="B984" s="108">
        <f>A984*SQRT(1-EXP(-2*Sheet1!$M$103*Sheet1!$M$105/A984^2))</f>
        <v>12.327379642451678</v>
      </c>
    </row>
    <row r="985" spans="1:2">
      <c r="A985" s="19">
        <f t="shared" si="15"/>
        <v>15.749999999999792</v>
      </c>
      <c r="B985" s="108">
        <f>A985*SQRT(1-EXP(-2*Sheet1!$M$103*Sheet1!$M$105/A985^2))</f>
        <v>12.33051807635708</v>
      </c>
    </row>
    <row r="986" spans="1:2">
      <c r="A986" s="19">
        <f t="shared" si="15"/>
        <v>15.759999999999792</v>
      </c>
      <c r="B986" s="108">
        <f>A986*SQRT(1-EXP(-2*Sheet1!$M$103*Sheet1!$M$105/A986^2))</f>
        <v>12.333652048060854</v>
      </c>
    </row>
    <row r="987" spans="1:2">
      <c r="A987" s="19">
        <f t="shared" si="15"/>
        <v>15.769999999999792</v>
      </c>
      <c r="B987" s="108">
        <f>A987*SQRT(1-EXP(-2*Sheet1!$M$103*Sheet1!$M$105/A987^2))</f>
        <v>12.336781564918478</v>
      </c>
    </row>
    <row r="988" spans="1:2">
      <c r="A988" s="19">
        <f t="shared" si="15"/>
        <v>15.779999999999792</v>
      </c>
      <c r="B988" s="108">
        <f>A988*SQRT(1-EXP(-2*Sheet1!$M$103*Sheet1!$M$105/A988^2))</f>
        <v>12.339906634273984</v>
      </c>
    </row>
    <row r="989" spans="1:2">
      <c r="A989" s="19">
        <f t="shared" si="15"/>
        <v>15.789999999999791</v>
      </c>
      <c r="B989" s="108">
        <f>A989*SQRT(1-EXP(-2*Sheet1!$M$103*Sheet1!$M$105/A989^2))</f>
        <v>12.343027263459925</v>
      </c>
    </row>
    <row r="990" spans="1:2">
      <c r="A990" s="19">
        <f t="shared" si="15"/>
        <v>15.799999999999791</v>
      </c>
      <c r="B990" s="108">
        <f>A990*SQRT(1-EXP(-2*Sheet1!$M$103*Sheet1!$M$105/A990^2))</f>
        <v>12.346143459797416</v>
      </c>
    </row>
    <row r="991" spans="1:2">
      <c r="A991" s="19">
        <f t="shared" si="15"/>
        <v>15.809999999999791</v>
      </c>
      <c r="B991" s="108">
        <f>A991*SQRT(1-EXP(-2*Sheet1!$M$103*Sheet1!$M$105/A991^2))</f>
        <v>12.349255230596107</v>
      </c>
    </row>
    <row r="992" spans="1:2">
      <c r="A992" s="19">
        <f t="shared" si="15"/>
        <v>15.819999999999791</v>
      </c>
      <c r="B992" s="108">
        <f>A992*SQRT(1-EXP(-2*Sheet1!$M$103*Sheet1!$M$105/A992^2))</f>
        <v>12.352362583154225</v>
      </c>
    </row>
    <row r="993" spans="1:2">
      <c r="A993" s="19">
        <f t="shared" si="15"/>
        <v>15.82999999999979</v>
      </c>
      <c r="B993" s="108">
        <f>A993*SQRT(1-EXP(-2*Sheet1!$M$103*Sheet1!$M$105/A993^2))</f>
        <v>12.355465524758534</v>
      </c>
    </row>
    <row r="994" spans="1:2">
      <c r="A994" s="19">
        <f t="shared" si="15"/>
        <v>15.83999999999979</v>
      </c>
      <c r="B994" s="108">
        <f>A994*SQRT(1-EXP(-2*Sheet1!$M$103*Sheet1!$M$105/A994^2))</f>
        <v>12.358564062684392</v>
      </c>
    </row>
    <row r="995" spans="1:2">
      <c r="A995" s="19">
        <f t="shared" si="15"/>
        <v>15.84999999999979</v>
      </c>
      <c r="B995" s="108">
        <f>A995*SQRT(1-EXP(-2*Sheet1!$M$103*Sheet1!$M$105/A995^2))</f>
        <v>12.361658204195708</v>
      </c>
    </row>
    <row r="996" spans="1:2">
      <c r="A996" s="19">
        <f t="shared" si="15"/>
        <v>15.85999999999979</v>
      </c>
      <c r="B996" s="108">
        <f>A996*SQRT(1-EXP(-2*Sheet1!$M$103*Sheet1!$M$105/A996^2))</f>
        <v>12.364747956544985</v>
      </c>
    </row>
    <row r="997" spans="1:2">
      <c r="A997" s="19">
        <f t="shared" si="15"/>
        <v>15.86999999999979</v>
      </c>
      <c r="B997" s="108">
        <f>A997*SQRT(1-EXP(-2*Sheet1!$M$103*Sheet1!$M$105/A997^2))</f>
        <v>12.367833326973299</v>
      </c>
    </row>
    <row r="998" spans="1:2">
      <c r="A998" s="19">
        <f t="shared" si="15"/>
        <v>15.879999999999789</v>
      </c>
      <c r="B998" s="108">
        <f>A998*SQRT(1-EXP(-2*Sheet1!$M$103*Sheet1!$M$105/A998^2))</f>
        <v>12.370914322710325</v>
      </c>
    </row>
    <row r="999" spans="1:2">
      <c r="A999" s="19">
        <f t="shared" si="15"/>
        <v>15.889999999999789</v>
      </c>
      <c r="B999" s="108">
        <f>A999*SQRT(1-EXP(-2*Sheet1!$M$103*Sheet1!$M$105/A999^2))</f>
        <v>12.373990950974331</v>
      </c>
    </row>
    <row r="1000" spans="1:2">
      <c r="A1000" s="19">
        <f t="shared" si="15"/>
        <v>15.899999999999789</v>
      </c>
      <c r="B1000" s="108">
        <f>A1000*SQRT(1-EXP(-2*Sheet1!$M$103*Sheet1!$M$105/A1000^2))</f>
        <v>12.377063218972189</v>
      </c>
    </row>
    <row r="1001" spans="1:2">
      <c r="A1001" s="19">
        <f t="shared" si="15"/>
        <v>15.909999999999789</v>
      </c>
      <c r="B1001" s="108">
        <f>A1001*SQRT(1-EXP(-2*Sheet1!$M$103*Sheet1!$M$105/A1001^2))</f>
        <v>12.380131133899381</v>
      </c>
    </row>
    <row r="1002" spans="1:2">
      <c r="A1002" s="19">
        <f t="shared" si="15"/>
        <v>15.919999999999789</v>
      </c>
      <c r="B1002" s="108">
        <f>A1002*SQRT(1-EXP(-2*Sheet1!$M$103*Sheet1!$M$105/A1002^2))</f>
        <v>12.383194702940003</v>
      </c>
    </row>
    <row r="1003" spans="1:2">
      <c r="A1003" s="19">
        <f t="shared" si="15"/>
        <v>15.929999999999788</v>
      </c>
      <c r="B1003" s="108">
        <f>A1003*SQRT(1-EXP(-2*Sheet1!$M$103*Sheet1!$M$105/A1003^2))</f>
        <v>12.386253933266772</v>
      </c>
    </row>
    <row r="1004" spans="1:2">
      <c r="A1004" s="19">
        <f t="shared" si="15"/>
        <v>15.939999999999788</v>
      </c>
      <c r="B1004" s="108">
        <f>A1004*SQRT(1-EXP(-2*Sheet1!$M$103*Sheet1!$M$105/A1004^2))</f>
        <v>12.389308832041042</v>
      </c>
    </row>
    <row r="1005" spans="1:2">
      <c r="A1005" s="19">
        <f t="shared" si="15"/>
        <v>15.949999999999788</v>
      </c>
      <c r="B1005" s="108">
        <f>A1005*SQRT(1-EXP(-2*Sheet1!$M$103*Sheet1!$M$105/A1005^2))</f>
        <v>12.392359406412787</v>
      </c>
    </row>
    <row r="1006" spans="1:2">
      <c r="A1006" s="19">
        <f t="shared" si="15"/>
        <v>15.959999999999788</v>
      </c>
      <c r="B1006" s="108">
        <f>A1006*SQRT(1-EXP(-2*Sheet1!$M$103*Sheet1!$M$105/A1006^2))</f>
        <v>12.395405663520634</v>
      </c>
    </row>
    <row r="1007" spans="1:2">
      <c r="A1007" s="19">
        <f t="shared" si="15"/>
        <v>15.969999999999787</v>
      </c>
      <c r="B1007" s="108">
        <f>A1007*SQRT(1-EXP(-2*Sheet1!$M$103*Sheet1!$M$105/A1007^2))</f>
        <v>12.398447610491859</v>
      </c>
    </row>
    <row r="1008" spans="1:2">
      <c r="A1008" s="19">
        <f t="shared" si="15"/>
        <v>15.979999999999787</v>
      </c>
      <c r="B1008" s="108">
        <f>A1008*SQRT(1-EXP(-2*Sheet1!$M$103*Sheet1!$M$105/A1008^2))</f>
        <v>12.401485254442386</v>
      </c>
    </row>
    <row r="1009" spans="1:2">
      <c r="A1009" s="19">
        <f t="shared" si="15"/>
        <v>15.989999999999787</v>
      </c>
      <c r="B1009" s="108">
        <f>A1009*SQRT(1-EXP(-2*Sheet1!$M$103*Sheet1!$M$105/A1009^2))</f>
        <v>12.404518602476809</v>
      </c>
    </row>
    <row r="1010" spans="1:2">
      <c r="A1010" s="19">
        <f t="shared" si="15"/>
        <v>15.999999999999787</v>
      </c>
      <c r="B1010" s="108">
        <f>A1010*SQRT(1-EXP(-2*Sheet1!$M$103*Sheet1!$M$105/A1010^2))</f>
        <v>12.40754766168839</v>
      </c>
    </row>
    <row r="1011" spans="1:2">
      <c r="A1011" s="19">
        <f t="shared" si="15"/>
        <v>16.009999999999788</v>
      </c>
      <c r="B1011" s="108">
        <f>A1011*SQRT(1-EXP(-2*Sheet1!$M$103*Sheet1!$M$105/A1011^2))</f>
        <v>12.410572439159065</v>
      </c>
    </row>
    <row r="1012" spans="1:2">
      <c r="A1012" s="19">
        <f t="shared" si="15"/>
        <v>16.01999999999979</v>
      </c>
      <c r="B1012" s="108">
        <f>A1012*SQRT(1-EXP(-2*Sheet1!$M$103*Sheet1!$M$105/A1012^2))</f>
        <v>12.413592941959459</v>
      </c>
    </row>
    <row r="1013" spans="1:2">
      <c r="A1013" s="19">
        <f t="shared" si="15"/>
        <v>16.029999999999792</v>
      </c>
      <c r="B1013" s="108">
        <f>A1013*SQRT(1-EXP(-2*Sheet1!$M$103*Sheet1!$M$105/A1013^2))</f>
        <v>12.416609177148882</v>
      </c>
    </row>
    <row r="1014" spans="1:2">
      <c r="A1014" s="19">
        <f t="shared" si="15"/>
        <v>16.039999999999793</v>
      </c>
      <c r="B1014" s="108">
        <f>A1014*SQRT(1-EXP(-2*Sheet1!$M$103*Sheet1!$M$105/A1014^2))</f>
        <v>12.419621151775347</v>
      </c>
    </row>
    <row r="1015" spans="1:2">
      <c r="A1015" s="19">
        <f t="shared" si="15"/>
        <v>16.049999999999795</v>
      </c>
      <c r="B1015" s="108">
        <f>A1015*SQRT(1-EXP(-2*Sheet1!$M$103*Sheet1!$M$105/A1015^2))</f>
        <v>12.422628872875576</v>
      </c>
    </row>
    <row r="1016" spans="1:2">
      <c r="A1016" s="19">
        <f t="shared" si="15"/>
        <v>16.059999999999796</v>
      </c>
      <c r="B1016" s="108">
        <f>A1016*SQRT(1-EXP(-2*Sheet1!$M$103*Sheet1!$M$105/A1016^2))</f>
        <v>12.425632347475</v>
      </c>
    </row>
    <row r="1017" spans="1:2">
      <c r="A1017" s="19">
        <f t="shared" si="15"/>
        <v>16.069999999999798</v>
      </c>
      <c r="B1017" s="108">
        <f>A1017*SQRT(1-EXP(-2*Sheet1!$M$103*Sheet1!$M$105/A1017^2))</f>
        <v>12.428631582587775</v>
      </c>
    </row>
    <row r="1018" spans="1:2">
      <c r="A1018" s="19">
        <f t="shared" si="15"/>
        <v>16.079999999999799</v>
      </c>
      <c r="B1018" s="108">
        <f>A1018*SQRT(1-EXP(-2*Sheet1!$M$103*Sheet1!$M$105/A1018^2))</f>
        <v>12.431626585216783</v>
      </c>
    </row>
    <row r="1019" spans="1:2">
      <c r="A1019" s="19">
        <f t="shared" si="15"/>
        <v>16.089999999999801</v>
      </c>
      <c r="B1019" s="108">
        <f>A1019*SQRT(1-EXP(-2*Sheet1!$M$103*Sheet1!$M$105/A1019^2))</f>
        <v>12.434617362353647</v>
      </c>
    </row>
    <row r="1020" spans="1:2">
      <c r="A1020" s="19">
        <f t="shared" si="15"/>
        <v>16.099999999999802</v>
      </c>
      <c r="B1020" s="108">
        <f>A1020*SQRT(1-EXP(-2*Sheet1!$M$103*Sheet1!$M$105/A1020^2))</f>
        <v>12.437603920978734</v>
      </c>
    </row>
    <row r="1021" spans="1:2">
      <c r="A1021" s="19">
        <f t="shared" si="15"/>
        <v>16.109999999999804</v>
      </c>
      <c r="B1021" s="108">
        <f>A1021*SQRT(1-EXP(-2*Sheet1!$M$103*Sheet1!$M$105/A1021^2))</f>
        <v>12.440586268061169</v>
      </c>
    </row>
    <row r="1022" spans="1:2">
      <c r="A1022" s="19">
        <f t="shared" si="15"/>
        <v>16.119999999999806</v>
      </c>
      <c r="B1022" s="108">
        <f>A1022*SQRT(1-EXP(-2*Sheet1!$M$103*Sheet1!$M$105/A1022^2))</f>
        <v>12.443564410558828</v>
      </c>
    </row>
    <row r="1023" spans="1:2">
      <c r="A1023" s="19">
        <f t="shared" si="15"/>
        <v>16.129999999999807</v>
      </c>
      <c r="B1023" s="108">
        <f>A1023*SQRT(1-EXP(-2*Sheet1!$M$103*Sheet1!$M$105/A1023^2))</f>
        <v>12.446538355418367</v>
      </c>
    </row>
    <row r="1024" spans="1:2">
      <c r="A1024" s="19">
        <f t="shared" si="15"/>
        <v>16.139999999999809</v>
      </c>
      <c r="B1024" s="108">
        <f>A1024*SQRT(1-EXP(-2*Sheet1!$M$103*Sheet1!$M$105/A1024^2))</f>
        <v>12.449508109575211</v>
      </c>
    </row>
    <row r="1025" spans="1:2">
      <c r="A1025" s="19">
        <f t="shared" si="15"/>
        <v>16.14999999999981</v>
      </c>
      <c r="B1025" s="108">
        <f>A1025*SQRT(1-EXP(-2*Sheet1!$M$103*Sheet1!$M$105/A1025^2))</f>
        <v>12.452473679953581</v>
      </c>
    </row>
    <row r="1026" spans="1:2">
      <c r="A1026" s="19">
        <f t="shared" si="15"/>
        <v>16.159999999999812</v>
      </c>
      <c r="B1026" s="108">
        <f>A1026*SQRT(1-EXP(-2*Sheet1!$M$103*Sheet1!$M$105/A1026^2))</f>
        <v>12.455435073466482</v>
      </c>
    </row>
    <row r="1027" spans="1:2">
      <c r="A1027" s="19">
        <f t="shared" si="15"/>
        <v>16.169999999999813</v>
      </c>
      <c r="B1027" s="108">
        <f>A1027*SQRT(1-EXP(-2*Sheet1!$M$103*Sheet1!$M$105/A1027^2))</f>
        <v>12.458392297015729</v>
      </c>
    </row>
    <row r="1028" spans="1:2">
      <c r="A1028" s="19">
        <f t="shared" si="15"/>
        <v>16.179999999999815</v>
      </c>
      <c r="B1028" s="108">
        <f>A1028*SQRT(1-EXP(-2*Sheet1!$M$103*Sheet1!$M$105/A1028^2))</f>
        <v>12.46134535749195</v>
      </c>
    </row>
    <row r="1029" spans="1:2">
      <c r="A1029" s="19">
        <f t="shared" si="15"/>
        <v>16.189999999999817</v>
      </c>
      <c r="B1029" s="108">
        <f>A1029*SQRT(1-EXP(-2*Sheet1!$M$103*Sheet1!$M$105/A1029^2))</f>
        <v>12.464294261774588</v>
      </c>
    </row>
    <row r="1030" spans="1:2">
      <c r="A1030" s="19">
        <f t="shared" si="15"/>
        <v>16.199999999999818</v>
      </c>
      <c r="B1030" s="108">
        <f>A1030*SQRT(1-EXP(-2*Sheet1!$M$103*Sheet1!$M$105/A1030^2))</f>
        <v>12.467239016731916</v>
      </c>
    </row>
    <row r="1031" spans="1:2">
      <c r="A1031" s="19">
        <f t="shared" si="15"/>
        <v>16.20999999999982</v>
      </c>
      <c r="B1031" s="108">
        <f>A1031*SQRT(1-EXP(-2*Sheet1!$M$103*Sheet1!$M$105/A1031^2))</f>
        <v>12.470179629221049</v>
      </c>
    </row>
    <row r="1032" spans="1:2">
      <c r="A1032" s="19">
        <f t="shared" si="15"/>
        <v>16.219999999999821</v>
      </c>
      <c r="B1032" s="108">
        <f>A1032*SQRT(1-EXP(-2*Sheet1!$M$103*Sheet1!$M$105/A1032^2))</f>
        <v>12.473116106087938</v>
      </c>
    </row>
    <row r="1033" spans="1:2">
      <c r="A1033" s="19">
        <f t="shared" si="15"/>
        <v>16.229999999999823</v>
      </c>
      <c r="B1033" s="108">
        <f>A1033*SQRT(1-EXP(-2*Sheet1!$M$103*Sheet1!$M$105/A1033^2))</f>
        <v>12.476048454167406</v>
      </c>
    </row>
    <row r="1034" spans="1:2">
      <c r="A1034" s="19">
        <f t="shared" si="15"/>
        <v>16.239999999999824</v>
      </c>
      <c r="B1034" s="108">
        <f>A1034*SQRT(1-EXP(-2*Sheet1!$M$103*Sheet1!$M$105/A1034^2))</f>
        <v>12.478976680283127</v>
      </c>
    </row>
    <row r="1035" spans="1:2">
      <c r="A1035" s="19">
        <f t="shared" si="15"/>
        <v>16.249999999999826</v>
      </c>
      <c r="B1035" s="108">
        <f>A1035*SQRT(1-EXP(-2*Sheet1!$M$103*Sheet1!$M$105/A1035^2))</f>
        <v>12.481900791247654</v>
      </c>
    </row>
    <row r="1036" spans="1:2">
      <c r="A1036" s="19">
        <f t="shared" ref="A1036:A1099" si="16">A1035+$B$7</f>
        <v>16.259999999999827</v>
      </c>
      <c r="B1036" s="108">
        <f>A1036*SQRT(1-EXP(-2*Sheet1!$M$103*Sheet1!$M$105/A1036^2))</f>
        <v>12.48482079386242</v>
      </c>
    </row>
    <row r="1037" spans="1:2">
      <c r="A1037" s="19">
        <f t="shared" si="16"/>
        <v>16.269999999999829</v>
      </c>
      <c r="B1037" s="108">
        <f>A1037*SQRT(1-EXP(-2*Sheet1!$M$103*Sheet1!$M$105/A1037^2))</f>
        <v>12.487736694917752</v>
      </c>
    </row>
    <row r="1038" spans="1:2">
      <c r="A1038" s="19">
        <f t="shared" si="16"/>
        <v>16.279999999999831</v>
      </c>
      <c r="B1038" s="108">
        <f>A1038*SQRT(1-EXP(-2*Sheet1!$M$103*Sheet1!$M$105/A1038^2))</f>
        <v>12.490648501192881</v>
      </c>
    </row>
    <row r="1039" spans="1:2">
      <c r="A1039" s="19">
        <f t="shared" si="16"/>
        <v>16.289999999999832</v>
      </c>
      <c r="B1039" s="108">
        <f>A1039*SQRT(1-EXP(-2*Sheet1!$M$103*Sheet1!$M$105/A1039^2))</f>
        <v>12.49355621945594</v>
      </c>
    </row>
    <row r="1040" spans="1:2">
      <c r="A1040" s="19">
        <f t="shared" si="16"/>
        <v>16.299999999999834</v>
      </c>
      <c r="B1040" s="108">
        <f>A1040*SQRT(1-EXP(-2*Sheet1!$M$103*Sheet1!$M$105/A1040^2))</f>
        <v>12.496459856463987</v>
      </c>
    </row>
    <row r="1041" spans="1:2">
      <c r="A1041" s="19">
        <f t="shared" si="16"/>
        <v>16.309999999999835</v>
      </c>
      <c r="B1041" s="108">
        <f>A1041*SQRT(1-EXP(-2*Sheet1!$M$103*Sheet1!$M$105/A1041^2))</f>
        <v>12.499359418963014</v>
      </c>
    </row>
    <row r="1042" spans="1:2">
      <c r="A1042" s="19">
        <f t="shared" si="16"/>
        <v>16.319999999999837</v>
      </c>
      <c r="B1042" s="108">
        <f>A1042*SQRT(1-EXP(-2*Sheet1!$M$103*Sheet1!$M$105/A1042^2))</f>
        <v>12.502254913687946</v>
      </c>
    </row>
    <row r="1043" spans="1:2">
      <c r="A1043" s="19">
        <f t="shared" si="16"/>
        <v>16.329999999999838</v>
      </c>
      <c r="B1043" s="108">
        <f>A1043*SQRT(1-EXP(-2*Sheet1!$M$103*Sheet1!$M$105/A1043^2))</f>
        <v>12.505146347362652</v>
      </c>
    </row>
    <row r="1044" spans="1:2">
      <c r="A1044" s="19">
        <f t="shared" si="16"/>
        <v>16.33999999999984</v>
      </c>
      <c r="B1044" s="108">
        <f>A1044*SQRT(1-EXP(-2*Sheet1!$M$103*Sheet1!$M$105/A1044^2))</f>
        <v>12.508033726699969</v>
      </c>
    </row>
    <row r="1045" spans="1:2">
      <c r="A1045" s="19">
        <f t="shared" si="16"/>
        <v>16.349999999999842</v>
      </c>
      <c r="B1045" s="108">
        <f>A1045*SQRT(1-EXP(-2*Sheet1!$M$103*Sheet1!$M$105/A1045^2))</f>
        <v>12.510917058401695</v>
      </c>
    </row>
    <row r="1046" spans="1:2">
      <c r="A1046" s="19">
        <f t="shared" si="16"/>
        <v>16.359999999999843</v>
      </c>
      <c r="B1046" s="108">
        <f>A1046*SQRT(1-EXP(-2*Sheet1!$M$103*Sheet1!$M$105/A1046^2))</f>
        <v>12.513796349158611</v>
      </c>
    </row>
    <row r="1047" spans="1:2">
      <c r="A1047" s="19">
        <f t="shared" si="16"/>
        <v>16.369999999999845</v>
      </c>
      <c r="B1047" s="108">
        <f>A1047*SQRT(1-EXP(-2*Sheet1!$M$103*Sheet1!$M$105/A1047^2))</f>
        <v>12.51667160565048</v>
      </c>
    </row>
    <row r="1048" spans="1:2">
      <c r="A1048" s="19">
        <f t="shared" si="16"/>
        <v>16.379999999999846</v>
      </c>
      <c r="B1048" s="108">
        <f>A1048*SQRT(1-EXP(-2*Sheet1!$M$103*Sheet1!$M$105/A1048^2))</f>
        <v>12.519542834546066</v>
      </c>
    </row>
    <row r="1049" spans="1:2">
      <c r="A1049" s="19">
        <f t="shared" si="16"/>
        <v>16.389999999999848</v>
      </c>
      <c r="B1049" s="108">
        <f>A1049*SQRT(1-EXP(-2*Sheet1!$M$103*Sheet1!$M$105/A1049^2))</f>
        <v>12.522410042503136</v>
      </c>
    </row>
    <row r="1050" spans="1:2">
      <c r="A1050" s="19">
        <f t="shared" si="16"/>
        <v>16.399999999999849</v>
      </c>
      <c r="B1050" s="108">
        <f>A1050*SQRT(1-EXP(-2*Sheet1!$M$103*Sheet1!$M$105/A1050^2))</f>
        <v>12.525273236168481</v>
      </c>
    </row>
    <row r="1051" spans="1:2">
      <c r="A1051" s="19">
        <f t="shared" si="16"/>
        <v>16.409999999999851</v>
      </c>
      <c r="B1051" s="108">
        <f>A1051*SQRT(1-EXP(-2*Sheet1!$M$103*Sheet1!$M$105/A1051^2))</f>
        <v>12.528132422177915</v>
      </c>
    </row>
    <row r="1052" spans="1:2">
      <c r="A1052" s="19">
        <f t="shared" si="16"/>
        <v>16.419999999999852</v>
      </c>
      <c r="B1052" s="108">
        <f>A1052*SQRT(1-EXP(-2*Sheet1!$M$103*Sheet1!$M$105/A1052^2))</f>
        <v>12.530987607156288</v>
      </c>
    </row>
    <row r="1053" spans="1:2">
      <c r="A1053" s="19">
        <f t="shared" si="16"/>
        <v>16.429999999999854</v>
      </c>
      <c r="B1053" s="108">
        <f>A1053*SQRT(1-EXP(-2*Sheet1!$M$103*Sheet1!$M$105/A1053^2))</f>
        <v>12.533838797717502</v>
      </c>
    </row>
    <row r="1054" spans="1:2">
      <c r="A1054" s="19">
        <f t="shared" si="16"/>
        <v>16.439999999999856</v>
      </c>
      <c r="B1054" s="108">
        <f>A1054*SQRT(1-EXP(-2*Sheet1!$M$103*Sheet1!$M$105/A1054^2))</f>
        <v>12.536686000464512</v>
      </c>
    </row>
    <row r="1055" spans="1:2">
      <c r="A1055" s="19">
        <f t="shared" si="16"/>
        <v>16.449999999999857</v>
      </c>
      <c r="B1055" s="108">
        <f>A1055*SQRT(1-EXP(-2*Sheet1!$M$103*Sheet1!$M$105/A1055^2))</f>
        <v>12.539529221989351</v>
      </c>
    </row>
    <row r="1056" spans="1:2">
      <c r="A1056" s="19">
        <f t="shared" si="16"/>
        <v>16.459999999999859</v>
      </c>
      <c r="B1056" s="108">
        <f>A1056*SQRT(1-EXP(-2*Sheet1!$M$103*Sheet1!$M$105/A1056^2))</f>
        <v>12.542368468873116</v>
      </c>
    </row>
    <row r="1057" spans="1:2">
      <c r="A1057" s="19">
        <f t="shared" si="16"/>
        <v>16.46999999999986</v>
      </c>
      <c r="B1057" s="108">
        <f>A1057*SQRT(1-EXP(-2*Sheet1!$M$103*Sheet1!$M$105/A1057^2))</f>
        <v>12.545203747686006</v>
      </c>
    </row>
    <row r="1058" spans="1:2">
      <c r="A1058" s="19">
        <f t="shared" si="16"/>
        <v>16.479999999999862</v>
      </c>
      <c r="B1058" s="108">
        <f>A1058*SQRT(1-EXP(-2*Sheet1!$M$103*Sheet1!$M$105/A1058^2))</f>
        <v>12.548035064987314</v>
      </c>
    </row>
    <row r="1059" spans="1:2">
      <c r="A1059" s="19">
        <f t="shared" si="16"/>
        <v>16.489999999999863</v>
      </c>
      <c r="B1059" s="108">
        <f>A1059*SQRT(1-EXP(-2*Sheet1!$M$103*Sheet1!$M$105/A1059^2))</f>
        <v>12.550862427325443</v>
      </c>
    </row>
    <row r="1060" spans="1:2">
      <c r="A1060" s="19">
        <f t="shared" si="16"/>
        <v>16.499999999999865</v>
      </c>
      <c r="B1060" s="108">
        <f>A1060*SQRT(1-EXP(-2*Sheet1!$M$103*Sheet1!$M$105/A1060^2))</f>
        <v>12.553685841237918</v>
      </c>
    </row>
    <row r="1061" spans="1:2">
      <c r="A1061" s="19">
        <f t="shared" si="16"/>
        <v>16.509999999999867</v>
      </c>
      <c r="B1061" s="108">
        <f>A1061*SQRT(1-EXP(-2*Sheet1!$M$103*Sheet1!$M$105/A1061^2))</f>
        <v>12.556505313251396</v>
      </c>
    </row>
    <row r="1062" spans="1:2">
      <c r="A1062" s="19">
        <f t="shared" si="16"/>
        <v>16.519999999999868</v>
      </c>
      <c r="B1062" s="108">
        <f>A1062*SQRT(1-EXP(-2*Sheet1!$M$103*Sheet1!$M$105/A1062^2))</f>
        <v>12.559320849881674</v>
      </c>
    </row>
    <row r="1063" spans="1:2">
      <c r="A1063" s="19">
        <f t="shared" si="16"/>
        <v>16.52999999999987</v>
      </c>
      <c r="B1063" s="108">
        <f>A1063*SQRT(1-EXP(-2*Sheet1!$M$103*Sheet1!$M$105/A1063^2))</f>
        <v>12.5621324576337</v>
      </c>
    </row>
    <row r="1064" spans="1:2">
      <c r="A1064" s="19">
        <f t="shared" si="16"/>
        <v>16.539999999999871</v>
      </c>
      <c r="B1064" s="108">
        <f>A1064*SQRT(1-EXP(-2*Sheet1!$M$103*Sheet1!$M$105/A1064^2))</f>
        <v>12.564940143001596</v>
      </c>
    </row>
    <row r="1065" spans="1:2">
      <c r="A1065" s="19">
        <f t="shared" si="16"/>
        <v>16.549999999999873</v>
      </c>
      <c r="B1065" s="108">
        <f>A1065*SQRT(1-EXP(-2*Sheet1!$M$103*Sheet1!$M$105/A1065^2))</f>
        <v>12.567743912468647</v>
      </c>
    </row>
    <row r="1066" spans="1:2">
      <c r="A1066" s="19">
        <f t="shared" si="16"/>
        <v>16.559999999999874</v>
      </c>
      <c r="B1066" s="108">
        <f>A1066*SQRT(1-EXP(-2*Sheet1!$M$103*Sheet1!$M$105/A1066^2))</f>
        <v>12.570543772507323</v>
      </c>
    </row>
    <row r="1067" spans="1:2">
      <c r="A1067" s="19">
        <f t="shared" si="16"/>
        <v>16.569999999999876</v>
      </c>
      <c r="B1067" s="108">
        <f>A1067*SQRT(1-EXP(-2*Sheet1!$M$103*Sheet1!$M$105/A1067^2))</f>
        <v>12.573339729579301</v>
      </c>
    </row>
    <row r="1068" spans="1:2">
      <c r="A1068" s="19">
        <f t="shared" si="16"/>
        <v>16.579999999999878</v>
      </c>
      <c r="B1068" s="108">
        <f>A1068*SQRT(1-EXP(-2*Sheet1!$M$103*Sheet1!$M$105/A1068^2))</f>
        <v>12.576131790135456</v>
      </c>
    </row>
    <row r="1069" spans="1:2">
      <c r="A1069" s="19">
        <f t="shared" si="16"/>
        <v>16.589999999999879</v>
      </c>
      <c r="B1069" s="108">
        <f>A1069*SQRT(1-EXP(-2*Sheet1!$M$103*Sheet1!$M$105/A1069^2))</f>
        <v>12.578919960615886</v>
      </c>
    </row>
    <row r="1070" spans="1:2">
      <c r="A1070" s="19">
        <f t="shared" si="16"/>
        <v>16.599999999999881</v>
      </c>
      <c r="B1070" s="108">
        <f>A1070*SQRT(1-EXP(-2*Sheet1!$M$103*Sheet1!$M$105/A1070^2))</f>
        <v>12.58170424744992</v>
      </c>
    </row>
    <row r="1071" spans="1:2">
      <c r="A1071" s="19">
        <f t="shared" si="16"/>
        <v>16.609999999999882</v>
      </c>
      <c r="B1071" s="108">
        <f>A1071*SQRT(1-EXP(-2*Sheet1!$M$103*Sheet1!$M$105/A1071^2))</f>
        <v>12.584484657056114</v>
      </c>
    </row>
    <row r="1072" spans="1:2">
      <c r="A1072" s="19">
        <f t="shared" si="16"/>
        <v>16.619999999999884</v>
      </c>
      <c r="B1072" s="108">
        <f>A1072*SQRT(1-EXP(-2*Sheet1!$M$103*Sheet1!$M$105/A1072^2))</f>
        <v>12.5872611958423</v>
      </c>
    </row>
    <row r="1073" spans="1:2">
      <c r="A1073" s="19">
        <f t="shared" si="16"/>
        <v>16.629999999999885</v>
      </c>
      <c r="B1073" s="108">
        <f>A1073*SQRT(1-EXP(-2*Sheet1!$M$103*Sheet1!$M$105/A1073^2))</f>
        <v>12.590033870205552</v>
      </c>
    </row>
    <row r="1074" spans="1:2">
      <c r="A1074" s="19">
        <f t="shared" si="16"/>
        <v>16.639999999999887</v>
      </c>
      <c r="B1074" s="108">
        <f>A1074*SQRT(1-EXP(-2*Sheet1!$M$103*Sheet1!$M$105/A1074^2))</f>
        <v>12.592802686532226</v>
      </c>
    </row>
    <row r="1075" spans="1:2">
      <c r="A1075" s="19">
        <f t="shared" si="16"/>
        <v>16.649999999999888</v>
      </c>
      <c r="B1075" s="108">
        <f>A1075*SQRT(1-EXP(-2*Sheet1!$M$103*Sheet1!$M$105/A1075^2))</f>
        <v>12.595567651197962</v>
      </c>
    </row>
    <row r="1076" spans="1:2">
      <c r="A1076" s="19">
        <f t="shared" si="16"/>
        <v>16.65999999999989</v>
      </c>
      <c r="B1076" s="108">
        <f>A1076*SQRT(1-EXP(-2*Sheet1!$M$103*Sheet1!$M$105/A1076^2))</f>
        <v>12.598328770567703</v>
      </c>
    </row>
    <row r="1077" spans="1:2">
      <c r="A1077" s="19">
        <f t="shared" si="16"/>
        <v>16.669999999999892</v>
      </c>
      <c r="B1077" s="108">
        <f>A1077*SQRT(1-EXP(-2*Sheet1!$M$103*Sheet1!$M$105/A1077^2))</f>
        <v>12.601086050995692</v>
      </c>
    </row>
    <row r="1078" spans="1:2">
      <c r="A1078" s="19">
        <f t="shared" si="16"/>
        <v>16.679999999999893</v>
      </c>
      <c r="B1078" s="108">
        <f>A1078*SQRT(1-EXP(-2*Sheet1!$M$103*Sheet1!$M$105/A1078^2))</f>
        <v>12.603839498825501</v>
      </c>
    </row>
    <row r="1079" spans="1:2">
      <c r="A1079" s="19">
        <f t="shared" si="16"/>
        <v>16.689999999999895</v>
      </c>
      <c r="B1079" s="108">
        <f>A1079*SQRT(1-EXP(-2*Sheet1!$M$103*Sheet1!$M$105/A1079^2))</f>
        <v>12.606589120390023</v>
      </c>
    </row>
    <row r="1080" spans="1:2">
      <c r="A1080" s="19">
        <f t="shared" si="16"/>
        <v>16.699999999999896</v>
      </c>
      <c r="B1080" s="108">
        <f>A1080*SQRT(1-EXP(-2*Sheet1!$M$103*Sheet1!$M$105/A1080^2))</f>
        <v>12.609334922011501</v>
      </c>
    </row>
    <row r="1081" spans="1:2">
      <c r="A1081" s="19">
        <f t="shared" si="16"/>
        <v>16.709999999999898</v>
      </c>
      <c r="B1081" s="108">
        <f>A1081*SQRT(1-EXP(-2*Sheet1!$M$103*Sheet1!$M$105/A1081^2))</f>
        <v>12.612076910001532</v>
      </c>
    </row>
    <row r="1082" spans="1:2">
      <c r="A1082" s="19">
        <f t="shared" si="16"/>
        <v>16.719999999999899</v>
      </c>
      <c r="B1082" s="108">
        <f>A1082*SQRT(1-EXP(-2*Sheet1!$M$103*Sheet1!$M$105/A1082^2))</f>
        <v>12.614815090661079</v>
      </c>
    </row>
    <row r="1083" spans="1:2">
      <c r="A1083" s="19">
        <f t="shared" si="16"/>
        <v>16.729999999999901</v>
      </c>
      <c r="B1083" s="108">
        <f>A1083*SQRT(1-EXP(-2*Sheet1!$M$103*Sheet1!$M$105/A1083^2))</f>
        <v>12.61754947028048</v>
      </c>
    </row>
    <row r="1084" spans="1:2">
      <c r="A1084" s="19">
        <f t="shared" si="16"/>
        <v>16.739999999999903</v>
      </c>
      <c r="B1084" s="108">
        <f>A1084*SQRT(1-EXP(-2*Sheet1!$M$103*Sheet1!$M$105/A1084^2))</f>
        <v>12.620280055139467</v>
      </c>
    </row>
    <row r="1085" spans="1:2">
      <c r="A1085" s="19">
        <f t="shared" si="16"/>
        <v>16.749999999999904</v>
      </c>
      <c r="B1085" s="108">
        <f>A1085*SQRT(1-EXP(-2*Sheet1!$M$103*Sheet1!$M$105/A1085^2))</f>
        <v>12.623006851507169</v>
      </c>
    </row>
    <row r="1086" spans="1:2">
      <c r="A1086" s="19">
        <f t="shared" si="16"/>
        <v>16.759999999999906</v>
      </c>
      <c r="B1086" s="108">
        <f>A1086*SQRT(1-EXP(-2*Sheet1!$M$103*Sheet1!$M$105/A1086^2))</f>
        <v>12.625729865642132</v>
      </c>
    </row>
    <row r="1087" spans="1:2">
      <c r="A1087" s="19">
        <f t="shared" si="16"/>
        <v>16.769999999999907</v>
      </c>
      <c r="B1087" s="108">
        <f>A1087*SQRT(1-EXP(-2*Sheet1!$M$103*Sheet1!$M$105/A1087^2))</f>
        <v>12.628449103792326</v>
      </c>
    </row>
    <row r="1088" spans="1:2">
      <c r="A1088" s="19">
        <f t="shared" si="16"/>
        <v>16.779999999999909</v>
      </c>
      <c r="B1088" s="108">
        <f>A1088*SQRT(1-EXP(-2*Sheet1!$M$103*Sheet1!$M$105/A1088^2))</f>
        <v>12.631164572195152</v>
      </c>
    </row>
    <row r="1089" spans="1:2">
      <c r="A1089" s="19">
        <f t="shared" si="16"/>
        <v>16.78999999999991</v>
      </c>
      <c r="B1089" s="108">
        <f>A1089*SQRT(1-EXP(-2*Sheet1!$M$103*Sheet1!$M$105/A1089^2))</f>
        <v>12.633876277077469</v>
      </c>
    </row>
    <row r="1090" spans="1:2">
      <c r="A1090" s="19">
        <f t="shared" si="16"/>
        <v>16.799999999999912</v>
      </c>
      <c r="B1090" s="108">
        <f>A1090*SQRT(1-EXP(-2*Sheet1!$M$103*Sheet1!$M$105/A1090^2))</f>
        <v>12.636584224655595</v>
      </c>
    </row>
    <row r="1091" spans="1:2">
      <c r="A1091" s="19">
        <f t="shared" si="16"/>
        <v>16.809999999999913</v>
      </c>
      <c r="B1091" s="108">
        <f>A1091*SQRT(1-EXP(-2*Sheet1!$M$103*Sheet1!$M$105/A1091^2))</f>
        <v>12.639288421135316</v>
      </c>
    </row>
    <row r="1092" spans="1:2">
      <c r="A1092" s="19">
        <f t="shared" si="16"/>
        <v>16.819999999999915</v>
      </c>
      <c r="B1092" s="108">
        <f>A1092*SQRT(1-EXP(-2*Sheet1!$M$103*Sheet1!$M$105/A1092^2))</f>
        <v>12.641988872711902</v>
      </c>
    </row>
    <row r="1093" spans="1:2">
      <c r="A1093" s="19">
        <f t="shared" si="16"/>
        <v>16.829999999999917</v>
      </c>
      <c r="B1093" s="108">
        <f>A1093*SQRT(1-EXP(-2*Sheet1!$M$103*Sheet1!$M$105/A1093^2))</f>
        <v>12.644685585570128</v>
      </c>
    </row>
    <row r="1094" spans="1:2">
      <c r="A1094" s="19">
        <f t="shared" si="16"/>
        <v>16.839999999999918</v>
      </c>
      <c r="B1094" s="108">
        <f>A1094*SQRT(1-EXP(-2*Sheet1!$M$103*Sheet1!$M$105/A1094^2))</f>
        <v>12.647378565884271</v>
      </c>
    </row>
    <row r="1095" spans="1:2">
      <c r="A1095" s="19">
        <f t="shared" si="16"/>
        <v>16.84999999999992</v>
      </c>
      <c r="B1095" s="108">
        <f>A1095*SQRT(1-EXP(-2*Sheet1!$M$103*Sheet1!$M$105/A1095^2))</f>
        <v>12.650067819818133</v>
      </c>
    </row>
    <row r="1096" spans="1:2">
      <c r="A1096" s="19">
        <f t="shared" si="16"/>
        <v>16.859999999999921</v>
      </c>
      <c r="B1096" s="108">
        <f>A1096*SQRT(1-EXP(-2*Sheet1!$M$103*Sheet1!$M$105/A1096^2))</f>
        <v>12.652753353525044</v>
      </c>
    </row>
    <row r="1097" spans="1:2">
      <c r="A1097" s="19">
        <f t="shared" si="16"/>
        <v>16.869999999999923</v>
      </c>
      <c r="B1097" s="108">
        <f>A1097*SQRT(1-EXP(-2*Sheet1!$M$103*Sheet1!$M$105/A1097^2))</f>
        <v>12.655435173147888</v>
      </c>
    </row>
    <row r="1098" spans="1:2">
      <c r="A1098" s="19">
        <f t="shared" si="16"/>
        <v>16.879999999999924</v>
      </c>
      <c r="B1098" s="108">
        <f>A1098*SQRT(1-EXP(-2*Sheet1!$M$103*Sheet1!$M$105/A1098^2))</f>
        <v>12.658113284819095</v>
      </c>
    </row>
    <row r="1099" spans="1:2">
      <c r="A1099" s="19">
        <f t="shared" si="16"/>
        <v>16.889999999999926</v>
      </c>
      <c r="B1099" s="108">
        <f>A1099*SQRT(1-EXP(-2*Sheet1!$M$103*Sheet1!$M$105/A1099^2))</f>
        <v>12.660787694660675</v>
      </c>
    </row>
    <row r="1100" spans="1:2">
      <c r="A1100" s="19">
        <f t="shared" ref="A1100:A1163" si="17">A1099+$B$7</f>
        <v>16.899999999999928</v>
      </c>
      <c r="B1100" s="108">
        <f>A1100*SQRT(1-EXP(-2*Sheet1!$M$103*Sheet1!$M$105/A1100^2))</f>
        <v>12.663458408784216</v>
      </c>
    </row>
    <row r="1101" spans="1:2">
      <c r="A1101" s="19">
        <f t="shared" si="17"/>
        <v>16.909999999999929</v>
      </c>
      <c r="B1101" s="108">
        <f>A1101*SQRT(1-EXP(-2*Sheet1!$M$103*Sheet1!$M$105/A1101^2))</f>
        <v>12.666125433290903</v>
      </c>
    </row>
    <row r="1102" spans="1:2">
      <c r="A1102" s="19">
        <f t="shared" si="17"/>
        <v>16.919999999999931</v>
      </c>
      <c r="B1102" s="108">
        <f>A1102*SQRT(1-EXP(-2*Sheet1!$M$103*Sheet1!$M$105/A1102^2))</f>
        <v>12.668788774271523</v>
      </c>
    </row>
    <row r="1103" spans="1:2">
      <c r="A1103" s="19">
        <f t="shared" si="17"/>
        <v>16.929999999999932</v>
      </c>
      <c r="B1103" s="108">
        <f>A1103*SQRT(1-EXP(-2*Sheet1!$M$103*Sheet1!$M$105/A1103^2))</f>
        <v>12.671448437806488</v>
      </c>
    </row>
    <row r="1104" spans="1:2">
      <c r="A1104" s="19">
        <f t="shared" si="17"/>
        <v>16.939999999999934</v>
      </c>
      <c r="B1104" s="108">
        <f>A1104*SQRT(1-EXP(-2*Sheet1!$M$103*Sheet1!$M$105/A1104^2))</f>
        <v>12.674104429965837</v>
      </c>
    </row>
    <row r="1105" spans="1:2">
      <c r="A1105" s="19">
        <f t="shared" si="17"/>
        <v>16.949999999999935</v>
      </c>
      <c r="B1105" s="108">
        <f>A1105*SQRT(1-EXP(-2*Sheet1!$M$103*Sheet1!$M$105/A1105^2))</f>
        <v>12.676756756809256</v>
      </c>
    </row>
    <row r="1106" spans="1:2">
      <c r="A1106" s="19">
        <f t="shared" si="17"/>
        <v>16.959999999999937</v>
      </c>
      <c r="B1106" s="108">
        <f>A1106*SQRT(1-EXP(-2*Sheet1!$M$103*Sheet1!$M$105/A1106^2))</f>
        <v>12.679405424386092</v>
      </c>
    </row>
    <row r="1107" spans="1:2">
      <c r="A1107" s="19">
        <f t="shared" si="17"/>
        <v>16.969999999999938</v>
      </c>
      <c r="B1107" s="108">
        <f>A1107*SQRT(1-EXP(-2*Sheet1!$M$103*Sheet1!$M$105/A1107^2))</f>
        <v>12.682050438735354</v>
      </c>
    </row>
    <row r="1108" spans="1:2">
      <c r="A1108" s="19">
        <f t="shared" si="17"/>
        <v>16.97999999999994</v>
      </c>
      <c r="B1108" s="108">
        <f>A1108*SQRT(1-EXP(-2*Sheet1!$M$103*Sheet1!$M$105/A1108^2))</f>
        <v>12.684691805885734</v>
      </c>
    </row>
    <row r="1109" spans="1:2">
      <c r="A1109" s="19">
        <f t="shared" si="17"/>
        <v>16.989999999999942</v>
      </c>
      <c r="B1109" s="108">
        <f>A1109*SQRT(1-EXP(-2*Sheet1!$M$103*Sheet1!$M$105/A1109^2))</f>
        <v>12.687329531855623</v>
      </c>
    </row>
    <row r="1110" spans="1:2">
      <c r="A1110" s="19">
        <f t="shared" si="17"/>
        <v>16.999999999999943</v>
      </c>
      <c r="B1110" s="108">
        <f>A1110*SQRT(1-EXP(-2*Sheet1!$M$103*Sheet1!$M$105/A1110^2))</f>
        <v>12.68996362265311</v>
      </c>
    </row>
    <row r="1111" spans="1:2">
      <c r="A1111" s="19">
        <f t="shared" si="17"/>
        <v>17.009999999999945</v>
      </c>
      <c r="B1111" s="108">
        <f>A1111*SQRT(1-EXP(-2*Sheet1!$M$103*Sheet1!$M$105/A1111^2))</f>
        <v>12.692594084276019</v>
      </c>
    </row>
    <row r="1112" spans="1:2">
      <c r="A1112" s="19">
        <f t="shared" si="17"/>
        <v>17.019999999999946</v>
      </c>
      <c r="B1112" s="108">
        <f>A1112*SQRT(1-EXP(-2*Sheet1!$M$103*Sheet1!$M$105/A1112^2))</f>
        <v>12.695220922711892</v>
      </c>
    </row>
    <row r="1113" spans="1:2">
      <c r="A1113" s="19">
        <f t="shared" si="17"/>
        <v>17.029999999999948</v>
      </c>
      <c r="B1113" s="108">
        <f>A1113*SQRT(1-EXP(-2*Sheet1!$M$103*Sheet1!$M$105/A1113^2))</f>
        <v>12.697844143938019</v>
      </c>
    </row>
    <row r="1114" spans="1:2">
      <c r="A1114" s="19">
        <f t="shared" si="17"/>
        <v>17.039999999999949</v>
      </c>
      <c r="B1114" s="108">
        <f>A1114*SQRT(1-EXP(-2*Sheet1!$M$103*Sheet1!$M$105/A1114^2))</f>
        <v>12.700463753921456</v>
      </c>
    </row>
    <row r="1115" spans="1:2">
      <c r="A1115" s="19">
        <f t="shared" si="17"/>
        <v>17.049999999999951</v>
      </c>
      <c r="B1115" s="108">
        <f>A1115*SQRT(1-EXP(-2*Sheet1!$M$103*Sheet1!$M$105/A1115^2))</f>
        <v>12.703079758619017</v>
      </c>
    </row>
    <row r="1116" spans="1:2">
      <c r="A1116" s="19">
        <f t="shared" si="17"/>
        <v>17.059999999999953</v>
      </c>
      <c r="B1116" s="108">
        <f>A1116*SQRT(1-EXP(-2*Sheet1!$M$103*Sheet1!$M$105/A1116^2))</f>
        <v>12.705692163977313</v>
      </c>
    </row>
    <row r="1117" spans="1:2">
      <c r="A1117" s="19">
        <f t="shared" si="17"/>
        <v>17.069999999999954</v>
      </c>
      <c r="B1117" s="108">
        <f>A1117*SQRT(1-EXP(-2*Sheet1!$M$103*Sheet1!$M$105/A1117^2))</f>
        <v>12.70830097593274</v>
      </c>
    </row>
    <row r="1118" spans="1:2">
      <c r="A1118" s="19">
        <f t="shared" si="17"/>
        <v>17.079999999999956</v>
      </c>
      <c r="B1118" s="108">
        <f>A1118*SQRT(1-EXP(-2*Sheet1!$M$103*Sheet1!$M$105/A1118^2))</f>
        <v>12.710906200411506</v>
      </c>
    </row>
    <row r="1119" spans="1:2">
      <c r="A1119" s="19">
        <f t="shared" si="17"/>
        <v>17.089999999999957</v>
      </c>
      <c r="B1119" s="108">
        <f>A1119*SQRT(1-EXP(-2*Sheet1!$M$103*Sheet1!$M$105/A1119^2))</f>
        <v>12.713507843329648</v>
      </c>
    </row>
    <row r="1120" spans="1:2">
      <c r="A1120" s="19">
        <f t="shared" si="17"/>
        <v>17.099999999999959</v>
      </c>
      <c r="B1120" s="108">
        <f>A1120*SQRT(1-EXP(-2*Sheet1!$M$103*Sheet1!$M$105/A1120^2))</f>
        <v>12.716105910593024</v>
      </c>
    </row>
    <row r="1121" spans="1:2">
      <c r="A1121" s="19">
        <f t="shared" si="17"/>
        <v>17.10999999999996</v>
      </c>
      <c r="B1121" s="108">
        <f>A1121*SQRT(1-EXP(-2*Sheet1!$M$103*Sheet1!$M$105/A1121^2))</f>
        <v>12.718700408097352</v>
      </c>
    </row>
    <row r="1122" spans="1:2">
      <c r="A1122" s="19">
        <f t="shared" si="17"/>
        <v>17.119999999999962</v>
      </c>
      <c r="B1122" s="108">
        <f>A1122*SQRT(1-EXP(-2*Sheet1!$M$103*Sheet1!$M$105/A1122^2))</f>
        <v>12.721291341728207</v>
      </c>
    </row>
    <row r="1123" spans="1:2">
      <c r="A1123" s="19">
        <f t="shared" si="17"/>
        <v>17.129999999999963</v>
      </c>
      <c r="B1123" s="108">
        <f>A1123*SQRT(1-EXP(-2*Sheet1!$M$103*Sheet1!$M$105/A1123^2))</f>
        <v>12.723878717361032</v>
      </c>
    </row>
    <row r="1124" spans="1:2">
      <c r="A1124" s="19">
        <f t="shared" si="17"/>
        <v>17.139999999999965</v>
      </c>
      <c r="B1124" s="108">
        <f>A1124*SQRT(1-EXP(-2*Sheet1!$M$103*Sheet1!$M$105/A1124^2))</f>
        <v>12.726462540861165</v>
      </c>
    </row>
    <row r="1125" spans="1:2">
      <c r="A1125" s="19">
        <f t="shared" si="17"/>
        <v>17.149999999999967</v>
      </c>
      <c r="B1125" s="108">
        <f>A1125*SQRT(1-EXP(-2*Sheet1!$M$103*Sheet1!$M$105/A1125^2))</f>
        <v>12.729042818083837</v>
      </c>
    </row>
    <row r="1126" spans="1:2">
      <c r="A1126" s="19">
        <f t="shared" si="17"/>
        <v>17.159999999999968</v>
      </c>
      <c r="B1126" s="108">
        <f>A1126*SQRT(1-EXP(-2*Sheet1!$M$103*Sheet1!$M$105/A1126^2))</f>
        <v>12.731619554874197</v>
      </c>
    </row>
    <row r="1127" spans="1:2">
      <c r="A1127" s="19">
        <f t="shared" si="17"/>
        <v>17.16999999999997</v>
      </c>
      <c r="B1127" s="108">
        <f>A1127*SQRT(1-EXP(-2*Sheet1!$M$103*Sheet1!$M$105/A1127^2))</f>
        <v>12.734192757067314</v>
      </c>
    </row>
    <row r="1128" spans="1:2">
      <c r="A1128" s="19">
        <f t="shared" si="17"/>
        <v>17.179999999999971</v>
      </c>
      <c r="B1128" s="108">
        <f>A1128*SQRT(1-EXP(-2*Sheet1!$M$103*Sheet1!$M$105/A1128^2))</f>
        <v>12.736762430488199</v>
      </c>
    </row>
    <row r="1129" spans="1:2">
      <c r="A1129" s="19">
        <f t="shared" si="17"/>
        <v>17.189999999999973</v>
      </c>
      <c r="B1129" s="108">
        <f>A1129*SQRT(1-EXP(-2*Sheet1!$M$103*Sheet1!$M$105/A1129^2))</f>
        <v>12.739328580951815</v>
      </c>
    </row>
    <row r="1130" spans="1:2">
      <c r="A1130" s="19">
        <f t="shared" si="17"/>
        <v>17.199999999999974</v>
      </c>
      <c r="B1130" s="108">
        <f>A1130*SQRT(1-EXP(-2*Sheet1!$M$103*Sheet1!$M$105/A1130^2))</f>
        <v>12.741891214263088</v>
      </c>
    </row>
    <row r="1131" spans="1:2">
      <c r="A1131" s="19">
        <f t="shared" si="17"/>
        <v>17.209999999999976</v>
      </c>
      <c r="B1131" s="108">
        <f>A1131*SQRT(1-EXP(-2*Sheet1!$M$103*Sheet1!$M$105/A1131^2))</f>
        <v>12.744450336216925</v>
      </c>
    </row>
    <row r="1132" spans="1:2">
      <c r="A1132" s="19">
        <f t="shared" si="17"/>
        <v>17.219999999999978</v>
      </c>
      <c r="B1132" s="108">
        <f>A1132*SQRT(1-EXP(-2*Sheet1!$M$103*Sheet1!$M$105/A1132^2))</f>
        <v>12.747005952598217</v>
      </c>
    </row>
    <row r="1133" spans="1:2">
      <c r="A1133" s="19">
        <f t="shared" si="17"/>
        <v>17.229999999999979</v>
      </c>
      <c r="B1133" s="108">
        <f>A1133*SQRT(1-EXP(-2*Sheet1!$M$103*Sheet1!$M$105/A1133^2))</f>
        <v>12.74955806918187</v>
      </c>
    </row>
    <row r="1134" spans="1:2">
      <c r="A1134" s="19">
        <f t="shared" si="17"/>
        <v>17.239999999999981</v>
      </c>
      <c r="B1134" s="108">
        <f>A1134*SQRT(1-EXP(-2*Sheet1!$M$103*Sheet1!$M$105/A1134^2))</f>
        <v>12.7521066917328</v>
      </c>
    </row>
    <row r="1135" spans="1:2">
      <c r="A1135" s="19">
        <f t="shared" si="17"/>
        <v>17.249999999999982</v>
      </c>
      <c r="B1135" s="108">
        <f>A1135*SQRT(1-EXP(-2*Sheet1!$M$103*Sheet1!$M$105/A1135^2))</f>
        <v>12.754651826005956</v>
      </c>
    </row>
    <row r="1136" spans="1:2">
      <c r="A1136" s="19">
        <f t="shared" si="17"/>
        <v>17.259999999999984</v>
      </c>
      <c r="B1136" s="108">
        <f>A1136*SQRT(1-EXP(-2*Sheet1!$M$103*Sheet1!$M$105/A1136^2))</f>
        <v>12.757193477746329</v>
      </c>
    </row>
    <row r="1137" spans="1:2">
      <c r="A1137" s="19">
        <f t="shared" si="17"/>
        <v>17.269999999999985</v>
      </c>
      <c r="B1137" s="108">
        <f>A1137*SQRT(1-EXP(-2*Sheet1!$M$103*Sheet1!$M$105/A1137^2))</f>
        <v>12.759731652688973</v>
      </c>
    </row>
    <row r="1138" spans="1:2">
      <c r="A1138" s="19">
        <f t="shared" si="17"/>
        <v>17.279999999999987</v>
      </c>
      <c r="B1138" s="108">
        <f>A1138*SQRT(1-EXP(-2*Sheet1!$M$103*Sheet1!$M$105/A1138^2))</f>
        <v>12.762266356559003</v>
      </c>
    </row>
    <row r="1139" spans="1:2">
      <c r="A1139" s="19">
        <f t="shared" si="17"/>
        <v>17.289999999999988</v>
      </c>
      <c r="B1139" s="108">
        <f>A1139*SQRT(1-EXP(-2*Sheet1!$M$103*Sheet1!$M$105/A1139^2))</f>
        <v>12.764797595071629</v>
      </c>
    </row>
    <row r="1140" spans="1:2">
      <c r="A1140" s="19">
        <f t="shared" si="17"/>
        <v>17.29999999999999</v>
      </c>
      <c r="B1140" s="108">
        <f>A1140*SQRT(1-EXP(-2*Sheet1!$M$103*Sheet1!$M$105/A1140^2))</f>
        <v>12.767325373932151</v>
      </c>
    </row>
    <row r="1141" spans="1:2">
      <c r="A1141" s="19">
        <f t="shared" si="17"/>
        <v>17.309999999999992</v>
      </c>
      <c r="B1141" s="108">
        <f>A1141*SQRT(1-EXP(-2*Sheet1!$M$103*Sheet1!$M$105/A1141^2))</f>
        <v>12.76984969883598</v>
      </c>
    </row>
    <row r="1142" spans="1:2">
      <c r="A1142" s="19">
        <f t="shared" si="17"/>
        <v>17.319999999999993</v>
      </c>
      <c r="B1142" s="108">
        <f>A1142*SQRT(1-EXP(-2*Sheet1!$M$103*Sheet1!$M$105/A1142^2))</f>
        <v>12.772370575468651</v>
      </c>
    </row>
    <row r="1143" spans="1:2">
      <c r="A1143" s="19">
        <f t="shared" si="17"/>
        <v>17.329999999999995</v>
      </c>
      <c r="B1143" s="108">
        <f>A1143*SQRT(1-EXP(-2*Sheet1!$M$103*Sheet1!$M$105/A1143^2))</f>
        <v>12.77488800950584</v>
      </c>
    </row>
    <row r="1144" spans="1:2">
      <c r="A1144" s="19">
        <f t="shared" si="17"/>
        <v>17.339999999999996</v>
      </c>
      <c r="B1144" s="108">
        <f>A1144*SQRT(1-EXP(-2*Sheet1!$M$103*Sheet1!$M$105/A1144^2))</f>
        <v>12.77740200661337</v>
      </c>
    </row>
    <row r="1145" spans="1:2">
      <c r="A1145" s="19">
        <f t="shared" si="17"/>
        <v>17.349999999999998</v>
      </c>
      <c r="B1145" s="108">
        <f>A1145*SQRT(1-EXP(-2*Sheet1!$M$103*Sheet1!$M$105/A1145^2))</f>
        <v>12.779912572447225</v>
      </c>
    </row>
    <row r="1146" spans="1:2">
      <c r="A1146" s="19">
        <f t="shared" si="17"/>
        <v>17.36</v>
      </c>
      <c r="B1146" s="108">
        <f>A1146*SQRT(1-EXP(-2*Sheet1!$M$103*Sheet1!$M$105/A1146^2))</f>
        <v>12.782419712653573</v>
      </c>
    </row>
    <row r="1147" spans="1:2">
      <c r="A1147" s="19">
        <f t="shared" si="17"/>
        <v>17.37</v>
      </c>
      <c r="B1147" s="108">
        <f>A1147*SQRT(1-EXP(-2*Sheet1!$M$103*Sheet1!$M$105/A1147^2))</f>
        <v>12.784923432868768</v>
      </c>
    </row>
    <row r="1148" spans="1:2">
      <c r="A1148" s="19">
        <f t="shared" si="17"/>
        <v>17.380000000000003</v>
      </c>
      <c r="B1148" s="108">
        <f>A1148*SQRT(1-EXP(-2*Sheet1!$M$103*Sheet1!$M$105/A1148^2))</f>
        <v>12.787423738719372</v>
      </c>
    </row>
    <row r="1149" spans="1:2">
      <c r="A1149" s="19">
        <f t="shared" si="17"/>
        <v>17.390000000000004</v>
      </c>
      <c r="B1149" s="108">
        <f>A1149*SQRT(1-EXP(-2*Sheet1!$M$103*Sheet1!$M$105/A1149^2))</f>
        <v>12.78992063582216</v>
      </c>
    </row>
    <row r="1150" spans="1:2">
      <c r="A1150" s="19">
        <f t="shared" si="17"/>
        <v>17.400000000000006</v>
      </c>
      <c r="B1150" s="108">
        <f>A1150*SQRT(1-EXP(-2*Sheet1!$M$103*Sheet1!$M$105/A1150^2))</f>
        <v>12.792414129784142</v>
      </c>
    </row>
    <row r="1151" spans="1:2">
      <c r="A1151" s="19">
        <f t="shared" si="17"/>
        <v>17.410000000000007</v>
      </c>
      <c r="B1151" s="108">
        <f>A1151*SQRT(1-EXP(-2*Sheet1!$M$103*Sheet1!$M$105/A1151^2))</f>
        <v>12.79490422620257</v>
      </c>
    </row>
    <row r="1152" spans="1:2">
      <c r="A1152" s="19">
        <f t="shared" si="17"/>
        <v>17.420000000000009</v>
      </c>
      <c r="B1152" s="108">
        <f>A1152*SQRT(1-EXP(-2*Sheet1!$M$103*Sheet1!$M$105/A1152^2))</f>
        <v>12.797390930664958</v>
      </c>
    </row>
    <row r="1153" spans="1:2">
      <c r="A1153" s="19">
        <f t="shared" si="17"/>
        <v>17.43000000000001</v>
      </c>
      <c r="B1153" s="108">
        <f>A1153*SQRT(1-EXP(-2*Sheet1!$M$103*Sheet1!$M$105/A1153^2))</f>
        <v>12.799874248749088</v>
      </c>
    </row>
    <row r="1154" spans="1:2">
      <c r="A1154" s="19">
        <f t="shared" si="17"/>
        <v>17.440000000000012</v>
      </c>
      <c r="B1154" s="108">
        <f>A1154*SQRT(1-EXP(-2*Sheet1!$M$103*Sheet1!$M$105/A1154^2))</f>
        <v>12.802354186023026</v>
      </c>
    </row>
    <row r="1155" spans="1:2">
      <c r="A1155" s="19">
        <f t="shared" si="17"/>
        <v>17.450000000000014</v>
      </c>
      <c r="B1155" s="108">
        <f>A1155*SQRT(1-EXP(-2*Sheet1!$M$103*Sheet1!$M$105/A1155^2))</f>
        <v>12.804830748045141</v>
      </c>
    </row>
    <row r="1156" spans="1:2">
      <c r="A1156" s="19">
        <f t="shared" si="17"/>
        <v>17.460000000000015</v>
      </c>
      <c r="B1156" s="108">
        <f>A1156*SQRT(1-EXP(-2*Sheet1!$M$103*Sheet1!$M$105/A1156^2))</f>
        <v>12.807303940364115</v>
      </c>
    </row>
    <row r="1157" spans="1:2">
      <c r="A1157" s="19">
        <f t="shared" si="17"/>
        <v>17.470000000000017</v>
      </c>
      <c r="B1157" s="108">
        <f>A1157*SQRT(1-EXP(-2*Sheet1!$M$103*Sheet1!$M$105/A1157^2))</f>
        <v>12.809773768518946</v>
      </c>
    </row>
    <row r="1158" spans="1:2">
      <c r="A1158" s="19">
        <f t="shared" si="17"/>
        <v>17.480000000000018</v>
      </c>
      <c r="B1158" s="108">
        <f>A1158*SQRT(1-EXP(-2*Sheet1!$M$103*Sheet1!$M$105/A1158^2))</f>
        <v>12.812240238038989</v>
      </c>
    </row>
    <row r="1159" spans="1:2">
      <c r="A1159" s="19">
        <f t="shared" si="17"/>
        <v>17.49000000000002</v>
      </c>
      <c r="B1159" s="108">
        <f>A1159*SQRT(1-EXP(-2*Sheet1!$M$103*Sheet1!$M$105/A1159^2))</f>
        <v>12.81470335444393</v>
      </c>
    </row>
    <row r="1160" spans="1:2">
      <c r="A1160" s="19">
        <f t="shared" si="17"/>
        <v>17.500000000000021</v>
      </c>
      <c r="B1160" s="108">
        <f>A1160*SQRT(1-EXP(-2*Sheet1!$M$103*Sheet1!$M$105/A1160^2))</f>
        <v>12.817163123243843</v>
      </c>
    </row>
    <row r="1161" spans="1:2">
      <c r="A1161" s="19">
        <f t="shared" si="17"/>
        <v>17.510000000000023</v>
      </c>
      <c r="B1161" s="108">
        <f>A1161*SQRT(1-EXP(-2*Sheet1!$M$103*Sheet1!$M$105/A1161^2))</f>
        <v>12.819619549939166</v>
      </c>
    </row>
    <row r="1162" spans="1:2">
      <c r="A1162" s="19">
        <f t="shared" si="17"/>
        <v>17.520000000000024</v>
      </c>
      <c r="B1162" s="108">
        <f>A1162*SQRT(1-EXP(-2*Sheet1!$M$103*Sheet1!$M$105/A1162^2))</f>
        <v>12.822072640020737</v>
      </c>
    </row>
    <row r="1163" spans="1:2">
      <c r="A1163" s="19">
        <f t="shared" si="17"/>
        <v>17.530000000000026</v>
      </c>
      <c r="B1163" s="108">
        <f>A1163*SQRT(1-EXP(-2*Sheet1!$M$103*Sheet1!$M$105/A1163^2))</f>
        <v>12.824522398969807</v>
      </c>
    </row>
    <row r="1164" spans="1:2">
      <c r="A1164" s="19">
        <f t="shared" ref="A1164:A1210" si="18">A1163+$B$7</f>
        <v>17.540000000000028</v>
      </c>
      <c r="B1164" s="108">
        <f>A1164*SQRT(1-EXP(-2*Sheet1!$M$103*Sheet1!$M$105/A1164^2))</f>
        <v>12.826968832258039</v>
      </c>
    </row>
    <row r="1165" spans="1:2">
      <c r="A1165" s="19">
        <f t="shared" si="18"/>
        <v>17.550000000000029</v>
      </c>
      <c r="B1165" s="108">
        <f>A1165*SQRT(1-EXP(-2*Sheet1!$M$103*Sheet1!$M$105/A1165^2))</f>
        <v>12.829411945347539</v>
      </c>
    </row>
    <row r="1166" spans="1:2">
      <c r="A1166" s="19">
        <f t="shared" si="18"/>
        <v>17.560000000000031</v>
      </c>
      <c r="B1166" s="108">
        <f>A1166*SQRT(1-EXP(-2*Sheet1!$M$103*Sheet1!$M$105/A1166^2))</f>
        <v>12.831851743690853</v>
      </c>
    </row>
    <row r="1167" spans="1:2">
      <c r="A1167" s="19">
        <f t="shared" si="18"/>
        <v>17.570000000000032</v>
      </c>
      <c r="B1167" s="108">
        <f>A1167*SQRT(1-EXP(-2*Sheet1!$M$103*Sheet1!$M$105/A1167^2))</f>
        <v>12.834288232730994</v>
      </c>
    </row>
    <row r="1168" spans="1:2">
      <c r="A1168" s="19">
        <f t="shared" si="18"/>
        <v>17.580000000000034</v>
      </c>
      <c r="B1168" s="108">
        <f>A1168*SQRT(1-EXP(-2*Sheet1!$M$103*Sheet1!$M$105/A1168^2))</f>
        <v>12.836721417901451</v>
      </c>
    </row>
    <row r="1169" spans="1:2">
      <c r="A1169" s="19">
        <f t="shared" si="18"/>
        <v>17.590000000000035</v>
      </c>
      <c r="B1169" s="108">
        <f>A1169*SQRT(1-EXP(-2*Sheet1!$M$103*Sheet1!$M$105/A1169^2))</f>
        <v>12.839151304626204</v>
      </c>
    </row>
    <row r="1170" spans="1:2">
      <c r="A1170" s="19">
        <f t="shared" si="18"/>
        <v>17.600000000000037</v>
      </c>
      <c r="B1170" s="108">
        <f>A1170*SQRT(1-EXP(-2*Sheet1!$M$103*Sheet1!$M$105/A1170^2))</f>
        <v>12.841577898319729</v>
      </c>
    </row>
    <row r="1171" spans="1:2">
      <c r="A1171" s="19">
        <f t="shared" si="18"/>
        <v>17.610000000000039</v>
      </c>
      <c r="B1171" s="108">
        <f>A1171*SQRT(1-EXP(-2*Sheet1!$M$103*Sheet1!$M$105/A1171^2))</f>
        <v>12.844001204387027</v>
      </c>
    </row>
    <row r="1172" spans="1:2">
      <c r="A1172" s="19">
        <f t="shared" si="18"/>
        <v>17.62000000000004</v>
      </c>
      <c r="B1172" s="108">
        <f>A1172*SQRT(1-EXP(-2*Sheet1!$M$103*Sheet1!$M$105/A1172^2))</f>
        <v>12.846421228223628</v>
      </c>
    </row>
    <row r="1173" spans="1:2">
      <c r="A1173" s="19">
        <f t="shared" si="18"/>
        <v>17.630000000000042</v>
      </c>
      <c r="B1173" s="108">
        <f>A1173*SQRT(1-EXP(-2*Sheet1!$M$103*Sheet1!$M$105/A1173^2))</f>
        <v>12.848837975215604</v>
      </c>
    </row>
    <row r="1174" spans="1:2">
      <c r="A1174" s="19">
        <f t="shared" si="18"/>
        <v>17.640000000000043</v>
      </c>
      <c r="B1174" s="108">
        <f>A1174*SQRT(1-EXP(-2*Sheet1!$M$103*Sheet1!$M$105/A1174^2))</f>
        <v>12.851251450739587</v>
      </c>
    </row>
    <row r="1175" spans="1:2">
      <c r="A1175" s="19">
        <f t="shared" si="18"/>
        <v>17.650000000000045</v>
      </c>
      <c r="B1175" s="108">
        <f>A1175*SQRT(1-EXP(-2*Sheet1!$M$103*Sheet1!$M$105/A1175^2))</f>
        <v>12.853661660162777</v>
      </c>
    </row>
    <row r="1176" spans="1:2">
      <c r="A1176" s="19">
        <f t="shared" si="18"/>
        <v>17.660000000000046</v>
      </c>
      <c r="B1176" s="108">
        <f>A1176*SQRT(1-EXP(-2*Sheet1!$M$103*Sheet1!$M$105/A1176^2))</f>
        <v>12.856068608842968</v>
      </c>
    </row>
    <row r="1177" spans="1:2">
      <c r="A1177" s="19">
        <f t="shared" si="18"/>
        <v>17.670000000000048</v>
      </c>
      <c r="B1177" s="108">
        <f>A1177*SQRT(1-EXP(-2*Sheet1!$M$103*Sheet1!$M$105/A1177^2))</f>
        <v>12.858472302128545</v>
      </c>
    </row>
    <row r="1178" spans="1:2">
      <c r="A1178" s="19">
        <f t="shared" si="18"/>
        <v>17.680000000000049</v>
      </c>
      <c r="B1178" s="108">
        <f>A1178*SQRT(1-EXP(-2*Sheet1!$M$103*Sheet1!$M$105/A1178^2))</f>
        <v>12.860872745358508</v>
      </c>
    </row>
    <row r="1179" spans="1:2">
      <c r="A1179" s="19">
        <f t="shared" si="18"/>
        <v>17.690000000000051</v>
      </c>
      <c r="B1179" s="108">
        <f>A1179*SQRT(1-EXP(-2*Sheet1!$M$103*Sheet1!$M$105/A1179^2))</f>
        <v>12.863269943862491</v>
      </c>
    </row>
    <row r="1180" spans="1:2">
      <c r="A1180" s="19">
        <f t="shared" si="18"/>
        <v>17.700000000000053</v>
      </c>
      <c r="B1180" s="108">
        <f>A1180*SQRT(1-EXP(-2*Sheet1!$M$103*Sheet1!$M$105/A1180^2))</f>
        <v>12.865663902960758</v>
      </c>
    </row>
    <row r="1181" spans="1:2">
      <c r="A1181" s="19">
        <f t="shared" si="18"/>
        <v>17.710000000000054</v>
      </c>
      <c r="B1181" s="108">
        <f>A1181*SQRT(1-EXP(-2*Sheet1!$M$103*Sheet1!$M$105/A1181^2))</f>
        <v>12.868054627964236</v>
      </c>
    </row>
    <row r="1182" spans="1:2">
      <c r="A1182" s="19">
        <f t="shared" si="18"/>
        <v>17.720000000000056</v>
      </c>
      <c r="B1182" s="108">
        <f>A1182*SQRT(1-EXP(-2*Sheet1!$M$103*Sheet1!$M$105/A1182^2))</f>
        <v>12.870442124174515</v>
      </c>
    </row>
    <row r="1183" spans="1:2">
      <c r="A1183" s="19">
        <f t="shared" si="18"/>
        <v>17.730000000000057</v>
      </c>
      <c r="B1183" s="108">
        <f>A1183*SQRT(1-EXP(-2*Sheet1!$M$103*Sheet1!$M$105/A1183^2))</f>
        <v>12.872826396883873</v>
      </c>
    </row>
    <row r="1184" spans="1:2">
      <c r="A1184" s="19">
        <f t="shared" si="18"/>
        <v>17.740000000000059</v>
      </c>
      <c r="B1184" s="108">
        <f>A1184*SQRT(1-EXP(-2*Sheet1!$M$103*Sheet1!$M$105/A1184^2))</f>
        <v>12.875207451375276</v>
      </c>
    </row>
    <row r="1185" spans="1:2">
      <c r="A1185" s="19">
        <f t="shared" si="18"/>
        <v>17.75000000000006</v>
      </c>
      <c r="B1185" s="108">
        <f>A1185*SQRT(1-EXP(-2*Sheet1!$M$103*Sheet1!$M$105/A1185^2))</f>
        <v>12.877585292922406</v>
      </c>
    </row>
    <row r="1186" spans="1:2">
      <c r="A1186" s="19">
        <f t="shared" si="18"/>
        <v>17.760000000000062</v>
      </c>
      <c r="B1186" s="108">
        <f>A1186*SQRT(1-EXP(-2*Sheet1!$M$103*Sheet1!$M$105/A1186^2))</f>
        <v>12.879959926789669</v>
      </c>
    </row>
    <row r="1187" spans="1:2">
      <c r="A1187" s="19">
        <f t="shared" si="18"/>
        <v>17.770000000000064</v>
      </c>
      <c r="B1187" s="108">
        <f>A1187*SQRT(1-EXP(-2*Sheet1!$M$103*Sheet1!$M$105/A1187^2))</f>
        <v>12.882331358232204</v>
      </c>
    </row>
    <row r="1188" spans="1:2">
      <c r="A1188" s="19">
        <f t="shared" si="18"/>
        <v>17.780000000000065</v>
      </c>
      <c r="B1188" s="108">
        <f>A1188*SQRT(1-EXP(-2*Sheet1!$M$103*Sheet1!$M$105/A1188^2))</f>
        <v>12.884699592495901</v>
      </c>
    </row>
    <row r="1189" spans="1:2">
      <c r="A1189" s="19">
        <f t="shared" si="18"/>
        <v>17.790000000000067</v>
      </c>
      <c r="B1189" s="108">
        <f>A1189*SQRT(1-EXP(-2*Sheet1!$M$103*Sheet1!$M$105/A1189^2))</f>
        <v>12.887064634817422</v>
      </c>
    </row>
    <row r="1190" spans="1:2">
      <c r="A1190" s="19">
        <f t="shared" si="18"/>
        <v>17.800000000000068</v>
      </c>
      <c r="B1190" s="108">
        <f>A1190*SQRT(1-EXP(-2*Sheet1!$M$103*Sheet1!$M$105/A1190^2))</f>
        <v>12.889426490424199</v>
      </c>
    </row>
    <row r="1191" spans="1:2">
      <c r="A1191" s="19">
        <f t="shared" si="18"/>
        <v>17.81000000000007</v>
      </c>
      <c r="B1191" s="108">
        <f>A1191*SQRT(1-EXP(-2*Sheet1!$M$103*Sheet1!$M$105/A1191^2))</f>
        <v>12.891785164534467</v>
      </c>
    </row>
    <row r="1192" spans="1:2">
      <c r="A1192" s="19">
        <f t="shared" si="18"/>
        <v>17.820000000000071</v>
      </c>
      <c r="B1192" s="108">
        <f>A1192*SQRT(1-EXP(-2*Sheet1!$M$103*Sheet1!$M$105/A1192^2))</f>
        <v>12.894140662357255</v>
      </c>
    </row>
    <row r="1193" spans="1:2">
      <c r="A1193" s="19">
        <f t="shared" si="18"/>
        <v>17.830000000000073</v>
      </c>
      <c r="B1193" s="108">
        <f>A1193*SQRT(1-EXP(-2*Sheet1!$M$103*Sheet1!$M$105/A1193^2))</f>
        <v>12.896492989092426</v>
      </c>
    </row>
    <row r="1194" spans="1:2">
      <c r="A1194" s="19">
        <f t="shared" si="18"/>
        <v>17.840000000000074</v>
      </c>
      <c r="B1194" s="108">
        <f>A1194*SQRT(1-EXP(-2*Sheet1!$M$103*Sheet1!$M$105/A1194^2))</f>
        <v>12.898842149930665</v>
      </c>
    </row>
    <row r="1195" spans="1:2">
      <c r="A1195" s="19">
        <f t="shared" si="18"/>
        <v>17.850000000000076</v>
      </c>
      <c r="B1195" s="108">
        <f>A1195*SQRT(1-EXP(-2*Sheet1!$M$103*Sheet1!$M$105/A1195^2))</f>
        <v>12.901188150053516</v>
      </c>
    </row>
    <row r="1196" spans="1:2">
      <c r="A1196" s="19">
        <f t="shared" si="18"/>
        <v>17.860000000000078</v>
      </c>
      <c r="B1196" s="108">
        <f>A1196*SQRT(1-EXP(-2*Sheet1!$M$103*Sheet1!$M$105/A1196^2))</f>
        <v>12.903530994633375</v>
      </c>
    </row>
    <row r="1197" spans="1:2">
      <c r="A1197" s="19">
        <f t="shared" si="18"/>
        <v>17.870000000000079</v>
      </c>
      <c r="B1197" s="108">
        <f>A1197*SQRT(1-EXP(-2*Sheet1!$M$103*Sheet1!$M$105/A1197^2))</f>
        <v>12.905870688833522</v>
      </c>
    </row>
    <row r="1198" spans="1:2">
      <c r="A1198" s="19">
        <f t="shared" si="18"/>
        <v>17.880000000000081</v>
      </c>
      <c r="B1198" s="108">
        <f>A1198*SQRT(1-EXP(-2*Sheet1!$M$103*Sheet1!$M$105/A1198^2))</f>
        <v>12.908207237808121</v>
      </c>
    </row>
    <row r="1199" spans="1:2">
      <c r="A1199" s="19">
        <f t="shared" si="18"/>
        <v>17.890000000000082</v>
      </c>
      <c r="B1199" s="108">
        <f>A1199*SQRT(1-EXP(-2*Sheet1!$M$103*Sheet1!$M$105/A1199^2))</f>
        <v>12.910540646702241</v>
      </c>
    </row>
    <row r="1200" spans="1:2">
      <c r="A1200" s="19">
        <f t="shared" si="18"/>
        <v>17.900000000000084</v>
      </c>
      <c r="B1200" s="108">
        <f>A1200*SQRT(1-EXP(-2*Sheet1!$M$103*Sheet1!$M$105/A1200^2))</f>
        <v>12.912870920651875</v>
      </c>
    </row>
    <row r="1201" spans="1:2">
      <c r="A1201" s="19">
        <f t="shared" si="18"/>
        <v>17.910000000000085</v>
      </c>
      <c r="B1201" s="108">
        <f>A1201*SQRT(1-EXP(-2*Sheet1!$M$103*Sheet1!$M$105/A1201^2))</f>
        <v>12.915198064783935</v>
      </c>
    </row>
    <row r="1202" spans="1:2">
      <c r="A1202" s="19">
        <f t="shared" si="18"/>
        <v>17.920000000000087</v>
      </c>
      <c r="B1202" s="108">
        <f>A1202*SQRT(1-EXP(-2*Sheet1!$M$103*Sheet1!$M$105/A1202^2))</f>
        <v>12.917522084216291</v>
      </c>
    </row>
    <row r="1203" spans="1:2">
      <c r="A1203" s="19">
        <f t="shared" si="18"/>
        <v>17.930000000000089</v>
      </c>
      <c r="B1203" s="108">
        <f>A1203*SQRT(1-EXP(-2*Sheet1!$M$103*Sheet1!$M$105/A1203^2))</f>
        <v>12.919842984057761</v>
      </c>
    </row>
    <row r="1204" spans="1:2">
      <c r="A1204" s="19">
        <f t="shared" si="18"/>
        <v>17.94000000000009</v>
      </c>
      <c r="B1204" s="108">
        <f>A1204*SQRT(1-EXP(-2*Sheet1!$M$103*Sheet1!$M$105/A1204^2))</f>
        <v>12.922160769408146</v>
      </c>
    </row>
    <row r="1205" spans="1:2">
      <c r="A1205" s="19">
        <f t="shared" si="18"/>
        <v>17.950000000000092</v>
      </c>
      <c r="B1205" s="108">
        <f>A1205*SQRT(1-EXP(-2*Sheet1!$M$103*Sheet1!$M$105/A1205^2))</f>
        <v>12.924475445358226</v>
      </c>
    </row>
    <row r="1206" spans="1:2">
      <c r="A1206" s="19">
        <f t="shared" si="18"/>
        <v>17.960000000000093</v>
      </c>
      <c r="B1206" s="108">
        <f>A1206*SQRT(1-EXP(-2*Sheet1!$M$103*Sheet1!$M$105/A1206^2))</f>
        <v>12.926787016989785</v>
      </c>
    </row>
    <row r="1207" spans="1:2">
      <c r="A1207" s="19">
        <f t="shared" si="18"/>
        <v>17.970000000000095</v>
      </c>
      <c r="B1207" s="108">
        <f>A1207*SQRT(1-EXP(-2*Sheet1!$M$103*Sheet1!$M$105/A1207^2))</f>
        <v>12.929095489375623</v>
      </c>
    </row>
    <row r="1208" spans="1:2">
      <c r="A1208" s="19">
        <f t="shared" si="18"/>
        <v>17.980000000000096</v>
      </c>
      <c r="B1208" s="108">
        <f>A1208*SQRT(1-EXP(-2*Sheet1!$M$103*Sheet1!$M$105/A1208^2))</f>
        <v>12.931400867579564</v>
      </c>
    </row>
    <row r="1209" spans="1:2">
      <c r="A1209" s="19">
        <f t="shared" si="18"/>
        <v>17.990000000000098</v>
      </c>
      <c r="B1209" s="108">
        <f>A1209*SQRT(1-EXP(-2*Sheet1!$M$103*Sheet1!$M$105/A1209^2))</f>
        <v>12.933703156656479</v>
      </c>
    </row>
    <row r="1210" spans="1:2">
      <c r="A1210" s="19">
        <f t="shared" si="18"/>
        <v>18.000000000000099</v>
      </c>
      <c r="B1210" s="108">
        <f>A1210*SQRT(1-EXP(-2*Sheet1!$M$103*Sheet1!$M$105/A1210^2))</f>
        <v>12.936002361652294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reel reegan</dc:creator>
  <cp:lastModifiedBy>Ronald ron</cp:lastModifiedBy>
  <dcterms:created xsi:type="dcterms:W3CDTF">2026-06-04T23:41:32Z</dcterms:created>
  <dcterms:modified xsi:type="dcterms:W3CDTF">2026-06-10T19:03:38Z</dcterms:modified>
</cp:coreProperties>
</file>