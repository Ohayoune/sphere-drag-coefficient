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elr\iCloudDrive\Bellevue College\Spring 2026\Physics 3\Capstone\"/>
    </mc:Choice>
  </mc:AlternateContent>
  <xr:revisionPtr revIDLastSave="0" documentId="13_ncr:1_{8CF7402B-75B9-4353-973C-371281BD5B8B}" xr6:coauthVersionLast="47" xr6:coauthVersionMax="47" xr10:uidLastSave="{00000000-0000-0000-0000-000000000000}"/>
  <bookViews>
    <workbookView xWindow="-110" yWindow="-110" windowWidth="38620" windowHeight="21100" xr2:uid="{060B86FF-7263-4732-AD0B-86ACD210644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42" i="1" l="1"/>
  <c r="AA41" i="1"/>
  <c r="AA40" i="1"/>
  <c r="AA39" i="1"/>
  <c r="Z42" i="1"/>
  <c r="Y42" i="1"/>
  <c r="X42" i="1"/>
  <c r="Z41" i="1"/>
  <c r="Y41" i="1"/>
  <c r="X41" i="1"/>
  <c r="Z40" i="1"/>
  <c r="Y40" i="1"/>
  <c r="X40" i="1"/>
  <c r="Z39" i="1"/>
  <c r="Y39" i="1"/>
  <c r="X39" i="1"/>
  <c r="V42" i="1"/>
  <c r="U42" i="1"/>
  <c r="V41" i="1"/>
  <c r="U41" i="1"/>
  <c r="V40" i="1"/>
  <c r="U40" i="1"/>
  <c r="V39" i="1"/>
  <c r="U39" i="1"/>
  <c r="T42" i="1"/>
  <c r="S42" i="1"/>
  <c r="R42" i="1"/>
  <c r="Q42" i="1"/>
  <c r="P42" i="1"/>
  <c r="M43" i="1"/>
  <c r="L43" i="1"/>
  <c r="K43" i="1"/>
  <c r="M42" i="1"/>
  <c r="L42" i="1"/>
  <c r="K42" i="1"/>
  <c r="T41" i="1"/>
  <c r="S41" i="1"/>
  <c r="T40" i="1"/>
  <c r="S40" i="1"/>
  <c r="T39" i="1"/>
  <c r="S39" i="1"/>
  <c r="R41" i="1"/>
  <c r="Q41" i="1"/>
  <c r="P41" i="1"/>
  <c r="R40" i="1"/>
  <c r="Q40" i="1"/>
  <c r="P40" i="1"/>
  <c r="R39" i="1"/>
  <c r="Q39" i="1"/>
  <c r="P39" i="1"/>
  <c r="M41" i="1"/>
  <c r="L41" i="1"/>
  <c r="K41" i="1"/>
  <c r="M40" i="1"/>
  <c r="L40" i="1"/>
  <c r="K40" i="1"/>
  <c r="M39" i="1"/>
  <c r="L39" i="1"/>
  <c r="K39" i="1"/>
  <c r="BB17" i="1"/>
  <c r="BB16" i="1"/>
  <c r="BB15" i="1"/>
  <c r="BB14" i="1"/>
  <c r="BB13" i="1"/>
  <c r="AR17" i="1"/>
  <c r="AR16" i="1"/>
  <c r="AR15" i="1"/>
  <c r="AR14" i="1"/>
  <c r="AR13" i="1"/>
  <c r="AH17" i="1"/>
  <c r="AH16" i="1"/>
  <c r="AH15" i="1"/>
  <c r="AH14" i="1"/>
  <c r="AH13" i="1"/>
  <c r="X17" i="1"/>
  <c r="X16" i="1"/>
  <c r="X15" i="1"/>
  <c r="X14" i="1"/>
  <c r="X13" i="1"/>
  <c r="N17" i="1"/>
  <c r="N16" i="1"/>
  <c r="N15" i="1"/>
  <c r="N14" i="1"/>
  <c r="N13" i="1"/>
  <c r="BA17" i="1"/>
  <c r="AZ17" i="1"/>
  <c r="AX17" i="1"/>
  <c r="AW17" i="1"/>
  <c r="AU17" i="1"/>
  <c r="AT17" i="1"/>
  <c r="BA16" i="1"/>
  <c r="AZ16" i="1"/>
  <c r="AX16" i="1"/>
  <c r="AW16" i="1"/>
  <c r="AU16" i="1"/>
  <c r="AT16" i="1"/>
  <c r="BA15" i="1"/>
  <c r="AZ15" i="1"/>
  <c r="AX15" i="1"/>
  <c r="AW15" i="1"/>
  <c r="AU15" i="1"/>
  <c r="AT15" i="1"/>
  <c r="BA14" i="1"/>
  <c r="AZ14" i="1"/>
  <c r="AX14" i="1"/>
  <c r="AW14" i="1"/>
  <c r="AU14" i="1"/>
  <c r="AT14" i="1"/>
  <c r="BA13" i="1"/>
  <c r="AZ13" i="1"/>
  <c r="AX13" i="1"/>
  <c r="AW13" i="1"/>
  <c r="AU13" i="1"/>
  <c r="AT13" i="1"/>
  <c r="AQ17" i="1"/>
  <c r="AP17" i="1"/>
  <c r="AN17" i="1"/>
  <c r="AM17" i="1"/>
  <c r="AK17" i="1"/>
  <c r="AJ17" i="1"/>
  <c r="AQ16" i="1"/>
  <c r="AP16" i="1"/>
  <c r="AN16" i="1"/>
  <c r="AM16" i="1"/>
  <c r="AK16" i="1"/>
  <c r="AJ16" i="1"/>
  <c r="AQ15" i="1"/>
  <c r="AP15" i="1"/>
  <c r="AN15" i="1"/>
  <c r="AM15" i="1"/>
  <c r="AK15" i="1"/>
  <c r="AJ15" i="1"/>
  <c r="AQ14" i="1"/>
  <c r="AP14" i="1"/>
  <c r="AN14" i="1"/>
  <c r="AM14" i="1"/>
  <c r="AK14" i="1"/>
  <c r="AJ14" i="1"/>
  <c r="AQ13" i="1"/>
  <c r="AP13" i="1"/>
  <c r="AN13" i="1"/>
  <c r="AM13" i="1"/>
  <c r="AK13" i="1"/>
  <c r="AJ13" i="1"/>
  <c r="AG17" i="1"/>
  <c r="AF17" i="1"/>
  <c r="AD17" i="1"/>
  <c r="AC17" i="1"/>
  <c r="AA17" i="1"/>
  <c r="Z17" i="1"/>
  <c r="AG16" i="1"/>
  <c r="AF16" i="1"/>
  <c r="AD16" i="1"/>
  <c r="AC16" i="1"/>
  <c r="AA16" i="1"/>
  <c r="Z16" i="1"/>
  <c r="AG15" i="1"/>
  <c r="AF15" i="1"/>
  <c r="AD15" i="1"/>
  <c r="AC15" i="1"/>
  <c r="AA15" i="1"/>
  <c r="Z15" i="1"/>
  <c r="AG14" i="1"/>
  <c r="AF14" i="1"/>
  <c r="AD14" i="1"/>
  <c r="AC14" i="1"/>
  <c r="AA14" i="1"/>
  <c r="Z14" i="1"/>
  <c r="AG13" i="1"/>
  <c r="AF13" i="1"/>
  <c r="AD13" i="1"/>
  <c r="AC13" i="1"/>
  <c r="AA13" i="1"/>
  <c r="Z13" i="1"/>
  <c r="W17" i="1"/>
  <c r="V17" i="1"/>
  <c r="T17" i="1"/>
  <c r="S17" i="1"/>
  <c r="Q17" i="1"/>
  <c r="P17" i="1"/>
  <c r="W16" i="1"/>
  <c r="V16" i="1"/>
  <c r="T16" i="1"/>
  <c r="S16" i="1"/>
  <c r="Q16" i="1"/>
  <c r="P16" i="1"/>
  <c r="W15" i="1"/>
  <c r="V15" i="1"/>
  <c r="T15" i="1"/>
  <c r="S15" i="1"/>
  <c r="Q15" i="1"/>
  <c r="P15" i="1"/>
  <c r="W14" i="1"/>
  <c r="V14" i="1"/>
  <c r="T14" i="1"/>
  <c r="S14" i="1"/>
  <c r="Q14" i="1"/>
  <c r="P14" i="1"/>
  <c r="W13" i="1"/>
  <c r="V13" i="1"/>
  <c r="T13" i="1"/>
  <c r="S13" i="1"/>
  <c r="Q13" i="1"/>
  <c r="P13" i="1"/>
  <c r="M17" i="1"/>
  <c r="L17" i="1"/>
  <c r="M16" i="1"/>
  <c r="L16" i="1"/>
  <c r="M15" i="1"/>
  <c r="L15" i="1"/>
  <c r="M14" i="1"/>
  <c r="L14" i="1"/>
  <c r="M13" i="1"/>
  <c r="L13" i="1"/>
  <c r="C6" i="1"/>
</calcChain>
</file>

<file path=xl/sharedStrings.xml><?xml version="1.0" encoding="utf-8"?>
<sst xmlns="http://schemas.openxmlformats.org/spreadsheetml/2006/main" count="112" uniqueCount="51">
  <si>
    <t xml:space="preserve">Data </t>
  </si>
  <si>
    <t>Error</t>
  </si>
  <si>
    <t>Units</t>
  </si>
  <si>
    <t>Instrument type</t>
  </si>
  <si>
    <t>Seconds</t>
  </si>
  <si>
    <t>Camera processing speed (240hz)</t>
  </si>
  <si>
    <t xml:space="preserve">Resolution + stick error </t>
  </si>
  <si>
    <t>meters</t>
  </si>
  <si>
    <t>Extrapolated to reduce error.</t>
  </si>
  <si>
    <t>Time_1</t>
  </si>
  <si>
    <t>Time_2</t>
  </si>
  <si>
    <t>height error</t>
  </si>
  <si>
    <t>Speed</t>
  </si>
  <si>
    <t>Speed error</t>
  </si>
  <si>
    <t>Trial 2</t>
  </si>
  <si>
    <t>Trial 3</t>
  </si>
  <si>
    <t>Trial 4</t>
  </si>
  <si>
    <t>Trial 5</t>
  </si>
  <si>
    <t>height_1</t>
  </si>
  <si>
    <t>height_2</t>
  </si>
  <si>
    <t>Ball</t>
  </si>
  <si>
    <t>2.9g</t>
  </si>
  <si>
    <t>9.8g</t>
  </si>
  <si>
    <t>???</t>
  </si>
  <si>
    <t>31.2g</t>
  </si>
  <si>
    <t>t (first y&lt;2)</t>
  </si>
  <si>
    <t>y (first y&lt;2)</t>
  </si>
  <si>
    <t>t (2nd-to-last y&gt;0)</t>
  </si>
  <si>
    <t>y (2nd-to-last y&gt;0)</t>
  </si>
  <si>
    <t>trial 3</t>
  </si>
  <si>
    <t>Ball #</t>
  </si>
  <si>
    <t>Ball#</t>
  </si>
  <si>
    <t>net time</t>
  </si>
  <si>
    <t>net y</t>
  </si>
  <si>
    <t>Trial 1</t>
  </si>
  <si>
    <t>Summary by Ball</t>
  </si>
  <si>
    <t>Weight</t>
  </si>
  <si>
    <t>Avg Speed (m/s)</t>
  </si>
  <si>
    <t>Experimental Error (m/s)</t>
  </si>
  <si>
    <t>Weight (g)</t>
  </si>
  <si>
    <t>Plot Data</t>
  </si>
  <si>
    <t>Error (m/s)</t>
  </si>
  <si>
    <t>Upper</t>
  </si>
  <si>
    <t>Lower</t>
  </si>
  <si>
    <t>weight</t>
  </si>
  <si>
    <t>0.1g</t>
  </si>
  <si>
    <t>W+err</t>
  </si>
  <si>
    <t>W-err</t>
  </si>
  <si>
    <t>Whisker X-low</t>
  </si>
  <si>
    <t>Whisker X-high</t>
  </si>
  <si>
    <t>Whisker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</si>
</sst>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BDD7EE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BFBFBF"/>
      </right>
      <top style="medium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000000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medium">
        <color rgb="FF000000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/>
      <top style="medium">
        <color rgb="FF000000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164" fontId="0" fillId="4" borderId="4" xfId="0" applyNumberFormat="1" applyFill="1" applyBorder="1" applyAlignment="1">
      <alignment horizontal="center"/>
    </xf>
    <xf numFmtId="164" fontId="0" fillId="4" borderId="5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2" fontId="0" fillId="4" borderId="5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64" fontId="0" fillId="4" borderId="7" xfId="0" applyNumberFormat="1" applyFill="1" applyBorder="1" applyAlignment="1">
      <alignment horizontal="center"/>
    </xf>
    <xf numFmtId="164" fontId="0" fillId="4" borderId="8" xfId="0" applyNumberForma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2" fontId="0" fillId="4" borderId="8" xfId="0" applyNumberForma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3" fillId="2" borderId="11" xfId="0" applyFont="1" applyFill="1" applyBorder="1" applyAlignment="1">
      <alignment horizontal="center" wrapText="1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Speed vs Ball Weight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Avg Speed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2E75B6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0.1</c:v>
                </c:pt>
              </c:numLit>
            </c:plus>
            <c:minus>
              <c:numLit>
                <c:formatCode>General</c:formatCode>
                <c:ptCount val="1"/>
                <c:pt idx="0">
                  <c:v>0.1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Sheet1!$M$39:$M$42</c:f>
                <c:numCache>
                  <c:formatCode>General</c:formatCode>
                  <c:ptCount val="4"/>
                  <c:pt idx="0">
                    <c:v>3.31667104338247</c:v>
                  </c:pt>
                  <c:pt idx="1">
                    <c:v>4.6911533273686867</c:v>
                  </c:pt>
                  <c:pt idx="2">
                    <c:v>3.8726429753841782</c:v>
                  </c:pt>
                  <c:pt idx="3">
                    <c:v>4.0023186107154052</c:v>
                  </c:pt>
                </c:numCache>
              </c:numRef>
            </c:plus>
            <c:minus>
              <c:numRef>
                <c:f>Sheet1!$M$39:$M$42</c:f>
                <c:numCache>
                  <c:formatCode>General</c:formatCode>
                  <c:ptCount val="4"/>
                  <c:pt idx="0">
                    <c:v>3.31667104338247</c:v>
                  </c:pt>
                  <c:pt idx="1">
                    <c:v>4.6911533273686867</c:v>
                  </c:pt>
                  <c:pt idx="2">
                    <c:v>3.8726429753841782</c:v>
                  </c:pt>
                  <c:pt idx="3">
                    <c:v>4.0023186107154052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Sheet1!$P$39:$P$42</c:f>
              <c:numCache>
                <c:formatCode>General</c:formatCode>
                <c:ptCount val="4"/>
                <c:pt idx="0">
                  <c:v>2.9</c:v>
                </c:pt>
                <c:pt idx="1">
                  <c:v>9.8000000000000007</c:v>
                </c:pt>
                <c:pt idx="2">
                  <c:v>17.7</c:v>
                </c:pt>
                <c:pt idx="3">
                  <c:v>31.2</c:v>
                </c:pt>
              </c:numCache>
            </c:numRef>
          </c:xVal>
          <c:yVal>
            <c:numRef>
              <c:f>Sheet1!$Q$39:$Q$42</c:f>
              <c:numCache>
                <c:formatCode>General</c:formatCode>
                <c:ptCount val="4"/>
                <c:pt idx="0">
                  <c:v>4.5133772806853569</c:v>
                </c:pt>
                <c:pt idx="1">
                  <c:v>5.3710621543455357</c:v>
                </c:pt>
                <c:pt idx="2">
                  <c:v>5.5484534649693877</c:v>
                </c:pt>
                <c:pt idx="3">
                  <c:v>5.7219794662816295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E7-4235-A82D-C135821B59D8}"/>
            </c:ext>
          </c:extLst>
        </c:ser>
        <c:ser>
          <c:idx val="1"/>
          <c:order val="1"/>
          <c:tx>
            <c:v>Xerr_39</c:v>
          </c:tx>
          <c:spPr>
            <a:ln w="19050" cap="rnd">
              <a:solidFill>
                <a:srgbClr val="A6A6A6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Sheet1!$X$39:$Y$39</c:f>
              <c:numCache>
                <c:formatCode>General</c:formatCode>
                <c:ptCount val="2"/>
                <c:pt idx="0">
                  <c:v>2.8</c:v>
                </c:pt>
                <c:pt idx="1">
                  <c:v>3</c:v>
                </c:pt>
              </c:numCache>
            </c:numRef>
          </c:xVal>
          <c:yVal>
            <c:numRef>
              <c:f>Sheet1!$Z$39:$AA$39</c:f>
              <c:numCache>
                <c:formatCode>General</c:formatCode>
                <c:ptCount val="2"/>
                <c:pt idx="0">
                  <c:v>4.5133772806853569</c:v>
                </c:pt>
                <c:pt idx="1">
                  <c:v>4.5133772806853569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CE7-4235-A82D-C135821B59D8}"/>
            </c:ext>
          </c:extLst>
        </c:ser>
        <c:ser>
          <c:idx val="2"/>
          <c:order val="2"/>
          <c:tx>
            <c:v>Xerr_40</c:v>
          </c:tx>
          <c:spPr>
            <a:ln w="19050" cap="rnd">
              <a:solidFill>
                <a:srgbClr val="A6A6A6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Sheet1!$X$40:$Y$40</c:f>
              <c:numCache>
                <c:formatCode>General</c:formatCode>
                <c:ptCount val="2"/>
                <c:pt idx="0">
                  <c:v>9.7000000000000011</c:v>
                </c:pt>
                <c:pt idx="1">
                  <c:v>9.9</c:v>
                </c:pt>
              </c:numCache>
            </c:numRef>
          </c:xVal>
          <c:yVal>
            <c:numRef>
              <c:f>Sheet1!$Z$40:$AA$40</c:f>
              <c:numCache>
                <c:formatCode>General</c:formatCode>
                <c:ptCount val="2"/>
                <c:pt idx="0">
                  <c:v>5.3710621543455357</c:v>
                </c:pt>
                <c:pt idx="1">
                  <c:v>5.3710621543455357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CE7-4235-A82D-C135821B59D8}"/>
            </c:ext>
          </c:extLst>
        </c:ser>
        <c:ser>
          <c:idx val="3"/>
          <c:order val="3"/>
          <c:tx>
            <c:v>Xerr_41</c:v>
          </c:tx>
          <c:spPr>
            <a:ln w="19050" cap="rnd">
              <a:solidFill>
                <a:srgbClr val="A6A6A6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Sheet1!$X$41:$Y$41</c:f>
              <c:numCache>
                <c:formatCode>General</c:formatCode>
                <c:ptCount val="2"/>
                <c:pt idx="0">
                  <c:v>17.599999999999998</c:v>
                </c:pt>
                <c:pt idx="1">
                  <c:v>17.8</c:v>
                </c:pt>
              </c:numCache>
            </c:numRef>
          </c:xVal>
          <c:yVal>
            <c:numRef>
              <c:f>Sheet1!$Z$41:$AA$41</c:f>
              <c:numCache>
                <c:formatCode>General</c:formatCode>
                <c:ptCount val="2"/>
                <c:pt idx="0">
                  <c:v>5.5484534649693877</c:v>
                </c:pt>
                <c:pt idx="1">
                  <c:v>5.5484534649693877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CE7-4235-A82D-C135821B59D8}"/>
            </c:ext>
          </c:extLst>
        </c:ser>
        <c:ser>
          <c:idx val="4"/>
          <c:order val="4"/>
          <c:tx>
            <c:v>Xerr_42</c:v>
          </c:tx>
          <c:spPr>
            <a:ln w="19050" cap="rnd">
              <a:solidFill>
                <a:srgbClr val="A6A6A6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Sheet1!$X$42:$Y$42</c:f>
              <c:numCache>
                <c:formatCode>General</c:formatCode>
                <c:ptCount val="2"/>
                <c:pt idx="0">
                  <c:v>31.099999999999998</c:v>
                </c:pt>
                <c:pt idx="1">
                  <c:v>31.3</c:v>
                </c:pt>
              </c:numCache>
            </c:numRef>
          </c:xVal>
          <c:yVal>
            <c:numRef>
              <c:f>Sheet1!$Z$42:$AA$42</c:f>
              <c:numCache>
                <c:formatCode>General</c:formatCode>
                <c:ptCount val="2"/>
                <c:pt idx="0">
                  <c:v>5.7219794662816295</c:v>
                </c:pt>
                <c:pt idx="1">
                  <c:v>5.7219794662816295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CE7-4235-A82D-C135821B5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47584"/>
        <c:axId val="78046624"/>
      </c:scatterChart>
      <c:valAx>
        <c:axId val="7804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46624"/>
        <c:crosses val="autoZero"/>
        <c:crossBetween val="midCat"/>
      </c:valAx>
      <c:valAx>
        <c:axId val="7804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Speed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47584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44</xdr:row>
      <xdr:rowOff>0</xdr:rowOff>
    </xdr:from>
    <xdr:to>
      <xdr:col>22</xdr:col>
      <xdr:colOff>0</xdr:colOff>
      <xdr:row>62</xdr:row>
      <xdr:rowOff>0</xdr:rowOff>
    </xdr:to>
    <xdr:graphicFrame macro="">
      <xdr:nvGraphicFramePr>
        <xdr:cNvPr id="3" name="WeightVsSpeed">
          <a:extLst>
            <a:ext uri="{FF2B5EF4-FFF2-40B4-BE49-F238E27FC236}">
              <a16:creationId xmlns:a16="http://schemas.microsoft.com/office/drawing/2014/main" id="{D00CF753-7895-84A6-5F85-0B7C71B6B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  <wetp:taskpane dockstate="right" visibility="0" width="525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F5085CD-6C3C-4C4C-AE6A-A223EF2DD04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6c4a367-960e-4f2e-8f5e-1b120519ab6b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414D32B-E4F5-4631-932F-430DEB5016CA}">
  <we:reference id="wa200010215" version="1.0.0.0" store="en-US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D2C8-C09B-4405-B344-E5472BD36DE9}">
  <dimension ref="B2:BC43"/>
  <sheetViews>
    <sheetView tabSelected="1" topLeftCell="B1" workbookViewId="0">
      <selection activeCell="K39" sqref="K39:K42"/>
    </sheetView>
  </sheetViews>
  <sheetFormatPr defaultRowHeight="14.5" x14ac:dyDescent="0.35"/>
  <cols>
    <col min="2" max="2" width="39.36328125" customWidth="1"/>
    <col min="6" max="55" width="10.90625" customWidth="1"/>
  </cols>
  <sheetData>
    <row r="2" spans="2:55" x14ac:dyDescent="0.35">
      <c r="E2" t="s">
        <v>0</v>
      </c>
    </row>
    <row r="5" spans="2:55" x14ac:dyDescent="0.35">
      <c r="B5" t="s">
        <v>3</v>
      </c>
      <c r="C5" t="s">
        <v>1</v>
      </c>
      <c r="D5" t="s">
        <v>2</v>
      </c>
    </row>
    <row r="6" spans="2:55" x14ac:dyDescent="0.35">
      <c r="B6" t="s">
        <v>5</v>
      </c>
      <c r="C6">
        <f>1/240</f>
        <v>4.1666666666666666E-3</v>
      </c>
      <c r="D6" t="s">
        <v>4</v>
      </c>
    </row>
    <row r="7" spans="2:55" x14ac:dyDescent="0.35">
      <c r="B7" t="s">
        <v>6</v>
      </c>
      <c r="C7">
        <v>0.05</v>
      </c>
      <c r="D7" t="s">
        <v>7</v>
      </c>
    </row>
    <row r="8" spans="2:55" x14ac:dyDescent="0.35">
      <c r="B8" t="s">
        <v>44</v>
      </c>
      <c r="C8" t="s">
        <v>45</v>
      </c>
    </row>
    <row r="9" spans="2:55" x14ac:dyDescent="0.35">
      <c r="B9" t="s">
        <v>8</v>
      </c>
    </row>
    <row r="10" spans="2:55" ht="15" thickBot="1" x14ac:dyDescent="0.4"/>
    <row r="11" spans="2:55" ht="24" customHeight="1" x14ac:dyDescent="0.35">
      <c r="F11" s="30" t="s">
        <v>34</v>
      </c>
      <c r="G11" s="31"/>
      <c r="H11" s="31"/>
      <c r="I11" s="31"/>
      <c r="J11" s="31"/>
      <c r="K11" s="31"/>
      <c r="L11" s="31"/>
      <c r="M11" s="31"/>
      <c r="N11" s="31"/>
      <c r="O11" s="33"/>
      <c r="P11" s="34" t="s">
        <v>14</v>
      </c>
      <c r="Q11" s="35"/>
      <c r="R11" s="35"/>
      <c r="S11" s="35"/>
      <c r="T11" s="35"/>
      <c r="U11" s="35"/>
      <c r="V11" s="35"/>
      <c r="W11" s="35"/>
      <c r="X11" s="35"/>
      <c r="Y11" s="36"/>
      <c r="Z11" s="37" t="s">
        <v>15</v>
      </c>
      <c r="AA11" s="38"/>
      <c r="AB11" s="38"/>
      <c r="AC11" s="38"/>
      <c r="AD11" s="38"/>
      <c r="AE11" s="38"/>
      <c r="AF11" s="38"/>
      <c r="AG11" s="38"/>
      <c r="AH11" s="38"/>
      <c r="AI11" s="39"/>
      <c r="AJ11" s="40" t="s">
        <v>16</v>
      </c>
      <c r="AK11" s="41"/>
      <c r="AL11" s="41"/>
      <c r="AM11" s="41"/>
      <c r="AN11" s="41"/>
      <c r="AO11" s="41"/>
      <c r="AP11" s="41"/>
      <c r="AQ11" s="41"/>
      <c r="AR11" s="41"/>
      <c r="AS11" s="42"/>
      <c r="AT11" s="43" t="s">
        <v>17</v>
      </c>
      <c r="AU11" s="44"/>
      <c r="AV11" s="44"/>
      <c r="AW11" s="44"/>
      <c r="AX11" s="44"/>
      <c r="AY11" s="44"/>
      <c r="AZ11" s="44"/>
      <c r="BA11" s="44"/>
      <c r="BB11" s="44"/>
      <c r="BC11" s="45"/>
    </row>
    <row r="12" spans="2:55" ht="32" customHeight="1" x14ac:dyDescent="0.35">
      <c r="E12" t="s">
        <v>20</v>
      </c>
      <c r="F12" s="2" t="s">
        <v>9</v>
      </c>
      <c r="G12" s="3" t="s">
        <v>10</v>
      </c>
      <c r="H12" s="3" t="s">
        <v>1</v>
      </c>
      <c r="I12" s="3" t="s">
        <v>18</v>
      </c>
      <c r="J12" s="3" t="s">
        <v>19</v>
      </c>
      <c r="K12" s="3" t="s">
        <v>11</v>
      </c>
      <c r="L12" s="3" t="s">
        <v>32</v>
      </c>
      <c r="M12" s="3" t="s">
        <v>33</v>
      </c>
      <c r="N12" s="3" t="s">
        <v>12</v>
      </c>
      <c r="O12" s="15" t="s">
        <v>13</v>
      </c>
      <c r="P12" s="2" t="s">
        <v>9</v>
      </c>
      <c r="Q12" s="3" t="s">
        <v>10</v>
      </c>
      <c r="R12" s="3" t="s">
        <v>1</v>
      </c>
      <c r="S12" s="3" t="s">
        <v>18</v>
      </c>
      <c r="T12" s="3" t="s">
        <v>19</v>
      </c>
      <c r="U12" s="3" t="s">
        <v>11</v>
      </c>
      <c r="V12" s="3" t="s">
        <v>32</v>
      </c>
      <c r="W12" s="3" t="s">
        <v>33</v>
      </c>
      <c r="X12" s="3" t="s">
        <v>12</v>
      </c>
      <c r="Y12" s="15" t="s">
        <v>13</v>
      </c>
      <c r="Z12" s="2" t="s">
        <v>9</v>
      </c>
      <c r="AA12" s="3" t="s">
        <v>10</v>
      </c>
      <c r="AB12" s="3" t="s">
        <v>1</v>
      </c>
      <c r="AC12" s="3" t="s">
        <v>18</v>
      </c>
      <c r="AD12" s="3" t="s">
        <v>19</v>
      </c>
      <c r="AE12" s="3" t="s">
        <v>11</v>
      </c>
      <c r="AF12" s="3" t="s">
        <v>32</v>
      </c>
      <c r="AG12" s="3" t="s">
        <v>33</v>
      </c>
      <c r="AH12" s="3" t="s">
        <v>12</v>
      </c>
      <c r="AI12" s="15" t="s">
        <v>13</v>
      </c>
      <c r="AJ12" s="2" t="s">
        <v>9</v>
      </c>
      <c r="AK12" s="3" t="s">
        <v>10</v>
      </c>
      <c r="AL12" s="3" t="s">
        <v>1</v>
      </c>
      <c r="AM12" s="3" t="s">
        <v>18</v>
      </c>
      <c r="AN12" s="3" t="s">
        <v>19</v>
      </c>
      <c r="AO12" s="3" t="s">
        <v>11</v>
      </c>
      <c r="AP12" s="3" t="s">
        <v>32</v>
      </c>
      <c r="AQ12" s="3" t="s">
        <v>33</v>
      </c>
      <c r="AR12" s="3" t="s">
        <v>12</v>
      </c>
      <c r="AS12" s="15" t="s">
        <v>13</v>
      </c>
      <c r="AT12" s="2" t="s">
        <v>9</v>
      </c>
      <c r="AU12" s="3" t="s">
        <v>10</v>
      </c>
      <c r="AV12" s="3" t="s">
        <v>1</v>
      </c>
      <c r="AW12" s="3" t="s">
        <v>18</v>
      </c>
      <c r="AX12" s="3" t="s">
        <v>19</v>
      </c>
      <c r="AY12" s="3" t="s">
        <v>11</v>
      </c>
      <c r="AZ12" s="3" t="s">
        <v>32</v>
      </c>
      <c r="BA12" s="3" t="s">
        <v>33</v>
      </c>
      <c r="BB12" s="3" t="s">
        <v>12</v>
      </c>
      <c r="BC12" s="4" t="s">
        <v>13</v>
      </c>
    </row>
    <row r="13" spans="2:55" x14ac:dyDescent="0.35">
      <c r="E13" t="s">
        <v>21</v>
      </c>
      <c r="F13" s="5">
        <v>0.125</v>
      </c>
      <c r="G13" s="6">
        <v>0.35</v>
      </c>
      <c r="H13" s="7"/>
      <c r="I13" s="6">
        <v>2.0099999999999998</v>
      </c>
      <c r="J13" s="6">
        <v>0.154</v>
      </c>
      <c r="K13" s="7"/>
      <c r="L13" s="6">
        <f>G13-F13</f>
        <v>0.22499999999999998</v>
      </c>
      <c r="M13" s="6">
        <f>I13-J13</f>
        <v>1.8559999999999999</v>
      </c>
      <c r="N13" s="8">
        <f>M13/L13</f>
        <v>8.2488888888888887</v>
      </c>
      <c r="O13" s="16"/>
      <c r="P13" s="5">
        <f>O23</f>
        <v>0.17499999999999999</v>
      </c>
      <c r="Q13" s="6">
        <f>Q23</f>
        <v>0.40799999999999997</v>
      </c>
      <c r="R13" s="7"/>
      <c r="S13" s="6">
        <f>P23</f>
        <v>1.9910000000000001</v>
      </c>
      <c r="T13" s="6">
        <f>R23</f>
        <v>0.129</v>
      </c>
      <c r="U13" s="7"/>
      <c r="V13" s="6">
        <f>Q13-P13</f>
        <v>0.23299999999999998</v>
      </c>
      <c r="W13" s="6">
        <f>S13-T13</f>
        <v>1.8620000000000001</v>
      </c>
      <c r="X13" s="8">
        <f>W13/V13</f>
        <v>7.9914163090128767</v>
      </c>
      <c r="Y13" s="16"/>
      <c r="Z13" s="5">
        <f>W23</f>
        <v>0.7</v>
      </c>
      <c r="AA13" s="6">
        <f>Y23</f>
        <v>1.7</v>
      </c>
      <c r="AB13" s="7"/>
      <c r="AC13" s="6">
        <f>X23</f>
        <v>1.9810000000000001</v>
      </c>
      <c r="AD13" s="6">
        <f>Z23</f>
        <v>6.8000000000000005E-2</v>
      </c>
      <c r="AE13" s="7"/>
      <c r="AF13" s="6">
        <f>AA13-Z13</f>
        <v>1</v>
      </c>
      <c r="AG13" s="6">
        <f>AC13-AD13</f>
        <v>1.913</v>
      </c>
      <c r="AH13" s="8">
        <f>AG13/AF13</f>
        <v>1.913</v>
      </c>
      <c r="AI13" s="16"/>
      <c r="AJ13" s="5">
        <f>AE23</f>
        <v>0.9</v>
      </c>
      <c r="AK13" s="6">
        <f>AG23</f>
        <v>1.9330000000000001</v>
      </c>
      <c r="AL13" s="7"/>
      <c r="AM13" s="6">
        <f>AF23</f>
        <v>1.8859999999999999</v>
      </c>
      <c r="AN13" s="6">
        <f>AH23</f>
        <v>0.14699999999999999</v>
      </c>
      <c r="AO13" s="7"/>
      <c r="AP13" s="6">
        <f>AK13-AJ13</f>
        <v>1.0329999999999999</v>
      </c>
      <c r="AQ13" s="6">
        <f>AM13-AN13</f>
        <v>1.7389999999999999</v>
      </c>
      <c r="AR13" s="8">
        <f>AQ13/AP13</f>
        <v>1.6834462729912876</v>
      </c>
      <c r="AS13" s="16"/>
      <c r="AT13" s="5">
        <f>AM23</f>
        <v>1.3</v>
      </c>
      <c r="AU13" s="6">
        <f>AO23</f>
        <v>1.9670000000000001</v>
      </c>
      <c r="AV13" s="7"/>
      <c r="AW13" s="6">
        <f>AN23</f>
        <v>1.92</v>
      </c>
      <c r="AX13" s="6">
        <f>AP23</f>
        <v>9.9000000000000005E-2</v>
      </c>
      <c r="AY13" s="7"/>
      <c r="AZ13" s="6">
        <f>AU13-AT13</f>
        <v>0.66700000000000004</v>
      </c>
      <c r="BA13" s="6">
        <f>AW13-AX13</f>
        <v>1.821</v>
      </c>
      <c r="BB13" s="8">
        <f>BA13/AZ13</f>
        <v>2.730134932533733</v>
      </c>
      <c r="BC13" s="9"/>
    </row>
    <row r="14" spans="2:55" x14ac:dyDescent="0.35">
      <c r="E14" t="s">
        <v>22</v>
      </c>
      <c r="F14" s="5">
        <v>1.728</v>
      </c>
      <c r="G14" s="6">
        <v>2.3919999999999999</v>
      </c>
      <c r="H14" s="7"/>
      <c r="I14" s="6">
        <v>2.004</v>
      </c>
      <c r="J14" s="6">
        <v>0.10199999999999999</v>
      </c>
      <c r="K14" s="7"/>
      <c r="L14" s="6">
        <f>G14-F14</f>
        <v>0.66399999999999992</v>
      </c>
      <c r="M14" s="6">
        <f>I14-J14</f>
        <v>1.9019999999999999</v>
      </c>
      <c r="N14" s="8">
        <f>M14/L14</f>
        <v>2.8644578313253013</v>
      </c>
      <c r="O14" s="16"/>
      <c r="P14" s="5">
        <f>O24</f>
        <v>0.6</v>
      </c>
      <c r="Q14" s="6">
        <f>Q24</f>
        <v>1.133</v>
      </c>
      <c r="R14" s="7"/>
      <c r="S14" s="6">
        <f>P24</f>
        <v>1.98</v>
      </c>
      <c r="T14" s="6">
        <f>R24</f>
        <v>0.14699999999999999</v>
      </c>
      <c r="U14" s="7"/>
      <c r="V14" s="6">
        <f>Q14-P14</f>
        <v>0.53300000000000003</v>
      </c>
      <c r="W14" s="6">
        <f>S14-T14</f>
        <v>1.833</v>
      </c>
      <c r="X14" s="8">
        <f>W14/V14</f>
        <v>3.4390243902439024</v>
      </c>
      <c r="Y14" s="16"/>
      <c r="Z14" s="5">
        <f>W24</f>
        <v>0.67500000000000004</v>
      </c>
      <c r="AA14" s="6">
        <f>Y24</f>
        <v>0.8</v>
      </c>
      <c r="AB14" s="7"/>
      <c r="AC14" s="6">
        <f>X24</f>
        <v>1.901</v>
      </c>
      <c r="AD14" s="6">
        <f>Z24</f>
        <v>0.182</v>
      </c>
      <c r="AE14" s="7"/>
      <c r="AF14" s="6">
        <f>AA14-Z14</f>
        <v>0.125</v>
      </c>
      <c r="AG14" s="6">
        <f>AC14-AD14</f>
        <v>1.7190000000000001</v>
      </c>
      <c r="AH14" s="8">
        <f>AG14/AF14</f>
        <v>13.752000000000001</v>
      </c>
      <c r="AI14" s="16"/>
      <c r="AJ14" s="5">
        <f>AE24</f>
        <v>2.294</v>
      </c>
      <c r="AK14" s="6">
        <f>AG24</f>
        <v>2.7930000000000001</v>
      </c>
      <c r="AL14" s="7"/>
      <c r="AM14" s="6">
        <f>AF24</f>
        <v>1.931</v>
      </c>
      <c r="AN14" s="6">
        <f>AH24</f>
        <v>0.224</v>
      </c>
      <c r="AO14" s="7"/>
      <c r="AP14" s="6">
        <f>AK14-AJ14</f>
        <v>0.49900000000000011</v>
      </c>
      <c r="AQ14" s="6">
        <f>AM14-AN14</f>
        <v>1.7070000000000001</v>
      </c>
      <c r="AR14" s="8">
        <f>AQ14/AP14</f>
        <v>3.4208416833667328</v>
      </c>
      <c r="AS14" s="16"/>
      <c r="AT14" s="5">
        <f>AM24</f>
        <v>0.4</v>
      </c>
      <c r="AU14" s="6">
        <f>AO24</f>
        <v>0.93300000000000005</v>
      </c>
      <c r="AV14" s="7"/>
      <c r="AW14" s="6">
        <f>AN24</f>
        <v>1.915</v>
      </c>
      <c r="AX14" s="6">
        <f>AP24</f>
        <v>0.114</v>
      </c>
      <c r="AY14" s="7"/>
      <c r="AZ14" s="6">
        <f>AU14-AT14</f>
        <v>0.53300000000000003</v>
      </c>
      <c r="BA14" s="6">
        <f>AW14-AX14</f>
        <v>1.8009999999999999</v>
      </c>
      <c r="BB14" s="8">
        <f>BA14/AZ14</f>
        <v>3.3789868667917444</v>
      </c>
      <c r="BC14" s="9"/>
    </row>
    <row r="15" spans="2:55" x14ac:dyDescent="0.35">
      <c r="E15">
        <v>17.7</v>
      </c>
      <c r="F15" s="5">
        <v>0.158</v>
      </c>
      <c r="G15" s="6">
        <v>0.3</v>
      </c>
      <c r="H15" s="7"/>
      <c r="I15" s="6">
        <v>1.9419999999999999</v>
      </c>
      <c r="J15" s="6">
        <v>0.17199999999999999</v>
      </c>
      <c r="K15" s="7"/>
      <c r="L15" s="6">
        <f>G15-F15</f>
        <v>0.14199999999999999</v>
      </c>
      <c r="M15" s="6">
        <f>I15-J15</f>
        <v>1.77</v>
      </c>
      <c r="N15" s="8">
        <f>M15/L15</f>
        <v>12.464788732394368</v>
      </c>
      <c r="O15" s="16"/>
      <c r="P15" s="5">
        <f>O25</f>
        <v>1.859</v>
      </c>
      <c r="Q15" s="6">
        <f>Q25</f>
        <v>2.39</v>
      </c>
      <c r="R15" s="7"/>
      <c r="S15" s="6">
        <f>P25</f>
        <v>1.986</v>
      </c>
      <c r="T15" s="6">
        <f>R25</f>
        <v>0.14699999999999999</v>
      </c>
      <c r="U15" s="7"/>
      <c r="V15" s="6">
        <f>Q15-P15</f>
        <v>0.53100000000000014</v>
      </c>
      <c r="W15" s="6">
        <f>S15-T15</f>
        <v>1.839</v>
      </c>
      <c r="X15" s="8">
        <f>W15/V15</f>
        <v>3.4632768361581912</v>
      </c>
      <c r="Y15" s="16"/>
      <c r="Z15" s="5">
        <f>W25</f>
        <v>0.36699999999999999</v>
      </c>
      <c r="AA15" s="6">
        <f>Y25</f>
        <v>0.83299999999999996</v>
      </c>
      <c r="AB15" s="7"/>
      <c r="AC15" s="6">
        <f>X25</f>
        <v>1.946</v>
      </c>
      <c r="AD15" s="6">
        <f>Z25</f>
        <v>0.16200000000000001</v>
      </c>
      <c r="AE15" s="7"/>
      <c r="AF15" s="6">
        <f>AA15-Z15</f>
        <v>0.46599999999999997</v>
      </c>
      <c r="AG15" s="6">
        <f>AC15-AD15</f>
        <v>1.784</v>
      </c>
      <c r="AH15" s="8">
        <f>AG15/AF15</f>
        <v>3.8283261802575113</v>
      </c>
      <c r="AI15" s="16"/>
      <c r="AJ15" s="5">
        <f>AE25</f>
        <v>1.2330000000000001</v>
      </c>
      <c r="AK15" s="6">
        <f>AG25</f>
        <v>1.633</v>
      </c>
      <c r="AL15" s="7"/>
      <c r="AM15" s="6">
        <f>AF25</f>
        <v>1.891</v>
      </c>
      <c r="AN15" s="6">
        <f>AH25</f>
        <v>0.26900000000000002</v>
      </c>
      <c r="AO15" s="7"/>
      <c r="AP15" s="6">
        <f>AK15-AJ15</f>
        <v>0.39999999999999991</v>
      </c>
      <c r="AQ15" s="6">
        <f>AM15-AN15</f>
        <v>1.6219999999999999</v>
      </c>
      <c r="AR15" s="8">
        <f>AQ15/AP15</f>
        <v>4.0550000000000006</v>
      </c>
      <c r="AS15" s="16"/>
      <c r="AT15" s="5">
        <f>AM25</f>
        <v>0.53300000000000003</v>
      </c>
      <c r="AU15" s="6">
        <f>AO25</f>
        <v>0.96699999999999997</v>
      </c>
      <c r="AV15" s="7"/>
      <c r="AW15" s="6">
        <f>AN25</f>
        <v>1.895</v>
      </c>
      <c r="AX15" s="6">
        <f>AP25</f>
        <v>0.189</v>
      </c>
      <c r="AY15" s="7"/>
      <c r="AZ15" s="6">
        <f>AU15-AT15</f>
        <v>0.43399999999999994</v>
      </c>
      <c r="BA15" s="6">
        <f>AW15-AX15</f>
        <v>1.706</v>
      </c>
      <c r="BB15" s="8">
        <f>BA15/AZ15</f>
        <v>3.930875576036867</v>
      </c>
      <c r="BC15" s="9"/>
    </row>
    <row r="16" spans="2:55" x14ac:dyDescent="0.35">
      <c r="E16" t="s">
        <v>23</v>
      </c>
      <c r="F16" s="5">
        <v>0.182</v>
      </c>
      <c r="G16" s="6">
        <v>0.317</v>
      </c>
      <c r="H16" s="7"/>
      <c r="I16" s="6">
        <v>1.909</v>
      </c>
      <c r="J16" s="6">
        <v>0.182</v>
      </c>
      <c r="K16" s="7"/>
      <c r="L16" s="6">
        <f>G16-F16</f>
        <v>0.13500000000000001</v>
      </c>
      <c r="M16" s="6">
        <f>I16-J16</f>
        <v>1.7270000000000001</v>
      </c>
      <c r="N16" s="8">
        <f>M16/L16</f>
        <v>12.792592592592593</v>
      </c>
      <c r="O16" s="16"/>
      <c r="P16" s="5">
        <f>O26</f>
        <v>2.585</v>
      </c>
      <c r="Q16" s="6">
        <f>Q26</f>
        <v>3.0489999999999999</v>
      </c>
      <c r="R16" s="7"/>
      <c r="S16" s="6">
        <f>P26</f>
        <v>1.9630000000000001</v>
      </c>
      <c r="T16" s="6">
        <f>R26</f>
        <v>0.16400000000000001</v>
      </c>
      <c r="U16" s="7"/>
      <c r="V16" s="6">
        <f>Q16-P16</f>
        <v>0.46399999999999997</v>
      </c>
      <c r="W16" s="6">
        <f>S16-T16</f>
        <v>1.7990000000000002</v>
      </c>
      <c r="X16" s="8">
        <f>W16/V16</f>
        <v>3.8771551724137936</v>
      </c>
      <c r="Y16" s="16"/>
      <c r="Z16" s="5">
        <f>W26</f>
        <v>1.2330000000000001</v>
      </c>
      <c r="AA16" s="6">
        <f>Y26</f>
        <v>1.667</v>
      </c>
      <c r="AB16" s="7"/>
      <c r="AC16" s="6">
        <f>X26</f>
        <v>1.956</v>
      </c>
      <c r="AD16" s="6">
        <f>Z26</f>
        <v>0.224</v>
      </c>
      <c r="AE16" s="7"/>
      <c r="AF16" s="6">
        <f>AA16-Z16</f>
        <v>0.43399999999999994</v>
      </c>
      <c r="AG16" s="6">
        <f>AC16-AD16</f>
        <v>1.732</v>
      </c>
      <c r="AH16" s="8">
        <f>AG16/AF16</f>
        <v>3.9907834101382496</v>
      </c>
      <c r="AI16" s="16"/>
      <c r="AJ16" s="5">
        <f>AE26</f>
        <v>1.367</v>
      </c>
      <c r="AK16" s="6">
        <f>AG26</f>
        <v>1.7669999999999999</v>
      </c>
      <c r="AL16" s="7"/>
      <c r="AM16" s="6">
        <f>AF26</f>
        <v>1.98</v>
      </c>
      <c r="AN16" s="6">
        <f>AH26</f>
        <v>0.36399999999999999</v>
      </c>
      <c r="AO16" s="7"/>
      <c r="AP16" s="6">
        <f>AK16-AJ16</f>
        <v>0.39999999999999991</v>
      </c>
      <c r="AQ16" s="6">
        <f>AM16-AN16</f>
        <v>1.6160000000000001</v>
      </c>
      <c r="AR16" s="8">
        <f>AQ16/AP16</f>
        <v>4.0400000000000009</v>
      </c>
      <c r="AS16" s="16"/>
      <c r="AT16" s="5">
        <f>AM26</f>
        <v>1.1000000000000001</v>
      </c>
      <c r="AU16" s="6">
        <f>AO26</f>
        <v>1.5329999999999999</v>
      </c>
      <c r="AV16" s="7"/>
      <c r="AW16" s="6">
        <f>AN26</f>
        <v>1.8979999999999999</v>
      </c>
      <c r="AX16" s="6">
        <f>AP26</f>
        <v>0.216</v>
      </c>
      <c r="AY16" s="7"/>
      <c r="AZ16" s="6">
        <f>AU16-AT16</f>
        <v>0.43299999999999983</v>
      </c>
      <c r="BA16" s="6">
        <f>AW16-AX16</f>
        <v>1.6819999999999999</v>
      </c>
      <c r="BB16" s="8">
        <f>BA16/AZ16</f>
        <v>3.8845265588914564</v>
      </c>
      <c r="BC16" s="9"/>
    </row>
    <row r="17" spans="5:55" ht="15" thickBot="1" x14ac:dyDescent="0.4">
      <c r="E17" t="s">
        <v>24</v>
      </c>
      <c r="F17" s="10">
        <v>0.433</v>
      </c>
      <c r="G17" s="11">
        <v>0.56699999999999995</v>
      </c>
      <c r="H17" s="12"/>
      <c r="I17" s="11">
        <v>1.92</v>
      </c>
      <c r="J17" s="11">
        <v>0.19400000000000001</v>
      </c>
      <c r="K17" s="12"/>
      <c r="L17" s="11">
        <f>G17-F17</f>
        <v>0.13399999999999995</v>
      </c>
      <c r="M17" s="11">
        <f>I17-J17</f>
        <v>1.726</v>
      </c>
      <c r="N17" s="13">
        <f>M17/L17</f>
        <v>12.880597014925378</v>
      </c>
      <c r="O17" s="17"/>
      <c r="P17" s="10">
        <f>O27</f>
        <v>1.726</v>
      </c>
      <c r="Q17" s="11">
        <f>Q27</f>
        <v>2.1579999999999999</v>
      </c>
      <c r="R17" s="12"/>
      <c r="S17" s="11">
        <f>P27</f>
        <v>1.9059999999999999</v>
      </c>
      <c r="T17" s="11">
        <f>R27</f>
        <v>0.25</v>
      </c>
      <c r="U17" s="12"/>
      <c r="V17" s="11">
        <f>Q17-P17</f>
        <v>0.43199999999999994</v>
      </c>
      <c r="W17" s="11">
        <f>S17-T17</f>
        <v>1.6559999999999999</v>
      </c>
      <c r="X17" s="13">
        <f>W17/V17</f>
        <v>3.8333333333333335</v>
      </c>
      <c r="Y17" s="17"/>
      <c r="Z17" s="10">
        <f>W27</f>
        <v>3.8250000000000002</v>
      </c>
      <c r="AA17" s="11">
        <f>Y27</f>
        <v>4.2569999999999997</v>
      </c>
      <c r="AB17" s="12"/>
      <c r="AC17" s="11">
        <f>X27</f>
        <v>1.9870000000000001</v>
      </c>
      <c r="AD17" s="11">
        <f>Z27</f>
        <v>0.252</v>
      </c>
      <c r="AE17" s="12"/>
      <c r="AF17" s="11">
        <f>AA17-Z17</f>
        <v>0.4319999999999995</v>
      </c>
      <c r="AG17" s="11">
        <f>AC17-AD17</f>
        <v>1.7350000000000001</v>
      </c>
      <c r="AH17" s="13">
        <f>AG17/AF17</f>
        <v>4.0162037037037086</v>
      </c>
      <c r="AI17" s="17"/>
      <c r="AJ17" s="10">
        <f>AE27</f>
        <v>0.56399999999999995</v>
      </c>
      <c r="AK17" s="11">
        <f>AG27</f>
        <v>0.996</v>
      </c>
      <c r="AL17" s="12"/>
      <c r="AM17" s="11">
        <f>AF27</f>
        <v>1.867</v>
      </c>
      <c r="AN17" s="11">
        <f>AH27</f>
        <v>0.16600000000000001</v>
      </c>
      <c r="AO17" s="12"/>
      <c r="AP17" s="11">
        <f>AK17-AJ17</f>
        <v>0.43200000000000005</v>
      </c>
      <c r="AQ17" s="11">
        <f>AM17-AN17</f>
        <v>1.7010000000000001</v>
      </c>
      <c r="AR17" s="13">
        <f>AQ17/AP17</f>
        <v>3.9374999999999996</v>
      </c>
      <c r="AS17" s="17"/>
      <c r="AT17" s="10">
        <f>AM27</f>
        <v>0.5</v>
      </c>
      <c r="AU17" s="11">
        <f>AO27</f>
        <v>0.93300000000000005</v>
      </c>
      <c r="AV17" s="12"/>
      <c r="AW17" s="11">
        <f>AN27</f>
        <v>1.8779999999999999</v>
      </c>
      <c r="AX17" s="11">
        <f>AP27</f>
        <v>0.17100000000000001</v>
      </c>
      <c r="AY17" s="12"/>
      <c r="AZ17" s="11">
        <f>AU17-AT17</f>
        <v>0.43300000000000005</v>
      </c>
      <c r="BA17" s="11">
        <f>AW17-AX17</f>
        <v>1.7069999999999999</v>
      </c>
      <c r="BB17" s="13">
        <f>BA17/AZ17</f>
        <v>3.9422632794457266</v>
      </c>
      <c r="BC17" s="14"/>
    </row>
    <row r="20" spans="5:55" ht="15" thickBot="1" x14ac:dyDescent="0.4"/>
    <row r="21" spans="5:55" ht="22" customHeight="1" x14ac:dyDescent="0.35">
      <c r="N21" s="46" t="s">
        <v>14</v>
      </c>
      <c r="O21" s="47"/>
      <c r="P21" s="47"/>
      <c r="Q21" s="47"/>
      <c r="R21" s="48"/>
      <c r="V21" s="49" t="s">
        <v>29</v>
      </c>
      <c r="W21" s="50"/>
      <c r="X21" s="50"/>
      <c r="Y21" s="50"/>
      <c r="Z21" s="51"/>
      <c r="AD21" s="52" t="s">
        <v>16</v>
      </c>
      <c r="AE21" s="53"/>
      <c r="AF21" s="53"/>
      <c r="AG21" s="53"/>
      <c r="AH21" s="54"/>
      <c r="AL21" s="55" t="s">
        <v>17</v>
      </c>
      <c r="AM21" s="56"/>
      <c r="AN21" s="56"/>
      <c r="AO21" s="56"/>
      <c r="AP21" s="57"/>
    </row>
    <row r="22" spans="5:55" ht="32" customHeight="1" x14ac:dyDescent="0.35">
      <c r="N22" s="2" t="s">
        <v>20</v>
      </c>
      <c r="O22" s="3" t="s">
        <v>25</v>
      </c>
      <c r="P22" s="3" t="s">
        <v>26</v>
      </c>
      <c r="Q22" s="3" t="s">
        <v>27</v>
      </c>
      <c r="R22" s="4" t="s">
        <v>28</v>
      </c>
      <c r="V22" s="2" t="s">
        <v>30</v>
      </c>
      <c r="W22" s="3" t="s">
        <v>25</v>
      </c>
      <c r="X22" s="3" t="s">
        <v>26</v>
      </c>
      <c r="Y22" s="3" t="s">
        <v>27</v>
      </c>
      <c r="Z22" s="4" t="s">
        <v>28</v>
      </c>
      <c r="AD22" s="2" t="s">
        <v>30</v>
      </c>
      <c r="AE22" s="3" t="s">
        <v>25</v>
      </c>
      <c r="AF22" s="3" t="s">
        <v>26</v>
      </c>
      <c r="AG22" s="3" t="s">
        <v>27</v>
      </c>
      <c r="AH22" s="4" t="s">
        <v>28</v>
      </c>
      <c r="AL22" s="2" t="s">
        <v>31</v>
      </c>
      <c r="AM22" s="3" t="s">
        <v>25</v>
      </c>
      <c r="AN22" s="3" t="s">
        <v>26</v>
      </c>
      <c r="AO22" s="3" t="s">
        <v>27</v>
      </c>
      <c r="AP22" s="4" t="s">
        <v>28</v>
      </c>
    </row>
    <row r="23" spans="5:55" x14ac:dyDescent="0.35">
      <c r="N23" s="18">
        <v>1</v>
      </c>
      <c r="O23" s="19">
        <v>0.17499999999999999</v>
      </c>
      <c r="P23" s="19">
        <v>1.9910000000000001</v>
      </c>
      <c r="Q23" s="19">
        <v>0.40799999999999997</v>
      </c>
      <c r="R23" s="20">
        <v>0.129</v>
      </c>
      <c r="V23" s="18">
        <v>1</v>
      </c>
      <c r="W23" s="19">
        <v>0.7</v>
      </c>
      <c r="X23" s="19">
        <v>1.9810000000000001</v>
      </c>
      <c r="Y23" s="19">
        <v>1.7</v>
      </c>
      <c r="Z23" s="20">
        <v>6.8000000000000005E-2</v>
      </c>
      <c r="AD23" s="18">
        <v>1</v>
      </c>
      <c r="AE23" s="19">
        <v>0.9</v>
      </c>
      <c r="AF23" s="19">
        <v>1.8859999999999999</v>
      </c>
      <c r="AG23" s="19">
        <v>1.9330000000000001</v>
      </c>
      <c r="AH23" s="20">
        <v>0.14699999999999999</v>
      </c>
      <c r="AL23" s="18">
        <v>1</v>
      </c>
      <c r="AM23" s="19">
        <v>1.3</v>
      </c>
      <c r="AN23" s="19">
        <v>1.92</v>
      </c>
      <c r="AO23" s="19">
        <v>1.9670000000000001</v>
      </c>
      <c r="AP23" s="20">
        <v>9.9000000000000005E-2</v>
      </c>
    </row>
    <row r="24" spans="5:55" x14ac:dyDescent="0.35">
      <c r="N24" s="18">
        <v>2</v>
      </c>
      <c r="O24" s="19">
        <v>0.6</v>
      </c>
      <c r="P24" s="19">
        <v>1.98</v>
      </c>
      <c r="Q24" s="19">
        <v>1.133</v>
      </c>
      <c r="R24" s="20">
        <v>0.14699999999999999</v>
      </c>
      <c r="V24" s="18">
        <v>2</v>
      </c>
      <c r="W24" s="19">
        <v>0.67500000000000004</v>
      </c>
      <c r="X24" s="19">
        <v>1.901</v>
      </c>
      <c r="Y24" s="19">
        <v>0.8</v>
      </c>
      <c r="Z24" s="20">
        <v>0.182</v>
      </c>
      <c r="AD24" s="18">
        <v>2</v>
      </c>
      <c r="AE24" s="19">
        <v>2.294</v>
      </c>
      <c r="AF24" s="19">
        <v>1.931</v>
      </c>
      <c r="AG24" s="19">
        <v>2.7930000000000001</v>
      </c>
      <c r="AH24" s="20">
        <v>0.224</v>
      </c>
      <c r="AL24" s="18">
        <v>2</v>
      </c>
      <c r="AM24" s="19">
        <v>0.4</v>
      </c>
      <c r="AN24" s="19">
        <v>1.915</v>
      </c>
      <c r="AO24" s="19">
        <v>0.93300000000000005</v>
      </c>
      <c r="AP24" s="20">
        <v>0.114</v>
      </c>
    </row>
    <row r="25" spans="5:55" x14ac:dyDescent="0.35">
      <c r="N25" s="18">
        <v>3</v>
      </c>
      <c r="O25" s="19">
        <v>1.859</v>
      </c>
      <c r="P25" s="19">
        <v>1.986</v>
      </c>
      <c r="Q25" s="19">
        <v>2.39</v>
      </c>
      <c r="R25" s="20">
        <v>0.14699999999999999</v>
      </c>
      <c r="V25" s="18">
        <v>3</v>
      </c>
      <c r="W25" s="19">
        <v>0.36699999999999999</v>
      </c>
      <c r="X25" s="19">
        <v>1.946</v>
      </c>
      <c r="Y25" s="19">
        <v>0.83299999999999996</v>
      </c>
      <c r="Z25" s="20">
        <v>0.16200000000000001</v>
      </c>
      <c r="AD25" s="18">
        <v>3</v>
      </c>
      <c r="AE25" s="19">
        <v>1.2330000000000001</v>
      </c>
      <c r="AF25" s="19">
        <v>1.891</v>
      </c>
      <c r="AG25" s="19">
        <v>1.633</v>
      </c>
      <c r="AH25" s="20">
        <v>0.26900000000000002</v>
      </c>
      <c r="AL25" s="18">
        <v>3</v>
      </c>
      <c r="AM25" s="19">
        <v>0.53300000000000003</v>
      </c>
      <c r="AN25" s="19">
        <v>1.895</v>
      </c>
      <c r="AO25" s="19">
        <v>0.96699999999999997</v>
      </c>
      <c r="AP25" s="20">
        <v>0.189</v>
      </c>
    </row>
    <row r="26" spans="5:55" x14ac:dyDescent="0.35">
      <c r="N26" s="18">
        <v>4</v>
      </c>
      <c r="O26" s="19">
        <v>2.585</v>
      </c>
      <c r="P26" s="19">
        <v>1.9630000000000001</v>
      </c>
      <c r="Q26" s="19">
        <v>3.0489999999999999</v>
      </c>
      <c r="R26" s="20">
        <v>0.16400000000000001</v>
      </c>
      <c r="V26" s="18">
        <v>4</v>
      </c>
      <c r="W26" s="19">
        <v>1.2330000000000001</v>
      </c>
      <c r="X26" s="19">
        <v>1.956</v>
      </c>
      <c r="Y26" s="19">
        <v>1.667</v>
      </c>
      <c r="Z26" s="20">
        <v>0.224</v>
      </c>
      <c r="AD26" s="18">
        <v>4</v>
      </c>
      <c r="AE26" s="19">
        <v>1.367</v>
      </c>
      <c r="AF26" s="19">
        <v>1.98</v>
      </c>
      <c r="AG26" s="19">
        <v>1.7669999999999999</v>
      </c>
      <c r="AH26" s="20">
        <v>0.36399999999999999</v>
      </c>
      <c r="AL26" s="18">
        <v>4</v>
      </c>
      <c r="AM26" s="19">
        <v>1.1000000000000001</v>
      </c>
      <c r="AN26" s="19">
        <v>1.8979999999999999</v>
      </c>
      <c r="AO26" s="19">
        <v>1.5329999999999999</v>
      </c>
      <c r="AP26" s="20">
        <v>0.216</v>
      </c>
    </row>
    <row r="27" spans="5:55" ht="15" thickBot="1" x14ac:dyDescent="0.4">
      <c r="N27" s="21">
        <v>5</v>
      </c>
      <c r="O27" s="22">
        <v>1.726</v>
      </c>
      <c r="P27" s="22">
        <v>1.9059999999999999</v>
      </c>
      <c r="Q27" s="22">
        <v>2.1579999999999999</v>
      </c>
      <c r="R27" s="23">
        <v>0.25</v>
      </c>
      <c r="V27" s="21">
        <v>5</v>
      </c>
      <c r="W27" s="22">
        <v>3.8250000000000002</v>
      </c>
      <c r="X27" s="22">
        <v>1.9870000000000001</v>
      </c>
      <c r="Y27" s="22">
        <v>4.2569999999999997</v>
      </c>
      <c r="Z27" s="23">
        <v>0.252</v>
      </c>
      <c r="AD27" s="21">
        <v>5</v>
      </c>
      <c r="AE27" s="22">
        <v>0.56399999999999995</v>
      </c>
      <c r="AF27" s="22">
        <v>1.867</v>
      </c>
      <c r="AG27" s="22">
        <v>0.996</v>
      </c>
      <c r="AH27" s="23">
        <v>0.16600000000000001</v>
      </c>
      <c r="AL27" s="21">
        <v>5</v>
      </c>
      <c r="AM27" s="22">
        <v>0.5</v>
      </c>
      <c r="AN27" s="22">
        <v>1.8779999999999999</v>
      </c>
      <c r="AO27" s="22">
        <v>0.93300000000000005</v>
      </c>
      <c r="AP27" s="23">
        <v>0.17100000000000001</v>
      </c>
    </row>
    <row r="36" spans="10:27" ht="15" thickBot="1" x14ac:dyDescent="0.4"/>
    <row r="37" spans="10:27" ht="24" customHeight="1" x14ac:dyDescent="0.35">
      <c r="J37" s="30" t="s">
        <v>35</v>
      </c>
      <c r="K37" s="31"/>
      <c r="L37" s="31"/>
      <c r="M37" s="32"/>
      <c r="P37" t="s">
        <v>40</v>
      </c>
    </row>
    <row r="38" spans="10:27" ht="32" customHeight="1" x14ac:dyDescent="0.35">
      <c r="J38" s="2" t="s">
        <v>30</v>
      </c>
      <c r="K38" s="3" t="s">
        <v>36</v>
      </c>
      <c r="L38" s="3" t="s">
        <v>37</v>
      </c>
      <c r="M38" s="4" t="s">
        <v>38</v>
      </c>
      <c r="N38" s="1" t="s">
        <v>39</v>
      </c>
      <c r="P38" s="1" t="s">
        <v>39</v>
      </c>
      <c r="Q38" s="1" t="s">
        <v>37</v>
      </c>
      <c r="R38" s="1" t="s">
        <v>41</v>
      </c>
      <c r="S38" s="1" t="s">
        <v>42</v>
      </c>
      <c r="T38" s="1" t="s">
        <v>43</v>
      </c>
      <c r="U38" s="1" t="s">
        <v>46</v>
      </c>
      <c r="V38" s="1" t="s">
        <v>47</v>
      </c>
      <c r="X38" s="1" t="s">
        <v>48</v>
      </c>
      <c r="Y38" s="1" t="s">
        <v>49</v>
      </c>
      <c r="Z38" s="1" t="s">
        <v>50</v>
      </c>
    </row>
    <row r="39" spans="10:27" x14ac:dyDescent="0.35">
      <c r="J39" s="18">
        <v>1</v>
      </c>
      <c r="K39" s="24" t="str">
        <f>E13</f>
        <v>2.9g</v>
      </c>
      <c r="L39" s="25">
        <f>AVERAGE(N13,X13,AH13,AR13,BB13)</f>
        <v>4.5133772806853569</v>
      </c>
      <c r="M39" s="26">
        <f>STDEV(N13,X13,AH13,AR13,BB13)</f>
        <v>3.31667104338247</v>
      </c>
      <c r="N39">
        <v>2.9</v>
      </c>
      <c r="P39">
        <f>N39</f>
        <v>2.9</v>
      </c>
      <c r="Q39">
        <f t="shared" ref="Q39:R42" si="0">L39</f>
        <v>4.5133772806853569</v>
      </c>
      <c r="R39">
        <f t="shared" si="0"/>
        <v>3.31667104338247</v>
      </c>
      <c r="S39">
        <f>Q39+R39</f>
        <v>7.8300483240678265</v>
      </c>
      <c r="T39">
        <f>Q39-R39</f>
        <v>1.1967062373028869</v>
      </c>
      <c r="U39">
        <f>P39+VALUE(SUBSTITUTE($C$8,"g",""))</f>
        <v>3</v>
      </c>
      <c r="V39">
        <f>P39-VALUE(SUBSTITUTE($C$8,"g",""))</f>
        <v>2.8</v>
      </c>
      <c r="X39">
        <f>V39</f>
        <v>2.8</v>
      </c>
      <c r="Y39">
        <f>U39</f>
        <v>3</v>
      </c>
      <c r="Z39">
        <f>Q39</f>
        <v>4.5133772806853569</v>
      </c>
      <c r="AA39">
        <f>Z39</f>
        <v>4.5133772806853569</v>
      </c>
    </row>
    <row r="40" spans="10:27" x14ac:dyDescent="0.35">
      <c r="J40" s="18">
        <v>2</v>
      </c>
      <c r="K40" s="24" t="str">
        <f>E14</f>
        <v>9.8g</v>
      </c>
      <c r="L40" s="25">
        <f>AVERAGE(N14,X14,AH14,AR14,BB14)</f>
        <v>5.3710621543455357</v>
      </c>
      <c r="M40" s="26">
        <f>STDEV(N14,X14,AH14,AR14,BB14)</f>
        <v>4.6911533273686867</v>
      </c>
      <c r="N40">
        <v>9.8000000000000007</v>
      </c>
      <c r="P40">
        <f>N40</f>
        <v>9.8000000000000007</v>
      </c>
      <c r="Q40">
        <f t="shared" si="0"/>
        <v>5.3710621543455357</v>
      </c>
      <c r="R40">
        <f t="shared" si="0"/>
        <v>4.6911533273686867</v>
      </c>
      <c r="S40">
        <f>Q40+R40</f>
        <v>10.062215481714222</v>
      </c>
      <c r="T40">
        <f>Q40-R40</f>
        <v>0.67990882697684896</v>
      </c>
      <c r="U40">
        <f>P40+VALUE(SUBSTITUTE($C$8,"g",""))</f>
        <v>9.9</v>
      </c>
      <c r="V40">
        <f>P40-VALUE(SUBSTITUTE($C$8,"g",""))</f>
        <v>9.7000000000000011</v>
      </c>
      <c r="X40">
        <f>V40</f>
        <v>9.7000000000000011</v>
      </c>
      <c r="Y40">
        <f>U40</f>
        <v>9.9</v>
      </c>
      <c r="Z40">
        <f>Q40</f>
        <v>5.3710621543455357</v>
      </c>
      <c r="AA40">
        <f>Z40</f>
        <v>5.3710621543455357</v>
      </c>
    </row>
    <row r="41" spans="10:27" x14ac:dyDescent="0.35">
      <c r="J41" s="18">
        <v>3</v>
      </c>
      <c r="K41" s="24">
        <f>E15</f>
        <v>17.7</v>
      </c>
      <c r="L41" s="25">
        <f>AVERAGE(N15,X15,AH15,AR15,BB15)</f>
        <v>5.5484534649693877</v>
      </c>
      <c r="M41" s="26">
        <f>STDEV(N15,X15,AH15,AR15,BB15)</f>
        <v>3.8726429753841782</v>
      </c>
      <c r="N41">
        <v>17.7</v>
      </c>
      <c r="P41">
        <f>N41</f>
        <v>17.7</v>
      </c>
      <c r="Q41">
        <f t="shared" si="0"/>
        <v>5.5484534649693877</v>
      </c>
      <c r="R41">
        <f t="shared" si="0"/>
        <v>3.8726429753841782</v>
      </c>
      <c r="S41">
        <f>Q41+R41</f>
        <v>9.4210964403535655</v>
      </c>
      <c r="T41">
        <f>Q41-R41</f>
        <v>1.6758104895852095</v>
      </c>
      <c r="U41">
        <f>P41+VALUE(SUBSTITUTE($C$8,"g",""))</f>
        <v>17.8</v>
      </c>
      <c r="V41">
        <f>P41-VALUE(SUBSTITUTE($C$8,"g",""))</f>
        <v>17.599999999999998</v>
      </c>
      <c r="X41">
        <f>V41</f>
        <v>17.599999999999998</v>
      </c>
      <c r="Y41">
        <f>U41</f>
        <v>17.8</v>
      </c>
      <c r="Z41">
        <f>Q41</f>
        <v>5.5484534649693877</v>
      </c>
      <c r="AA41">
        <f>Z41</f>
        <v>5.5484534649693877</v>
      </c>
    </row>
    <row r="42" spans="10:27" x14ac:dyDescent="0.35">
      <c r="J42" s="18">
        <v>4</v>
      </c>
      <c r="K42" s="24" t="str">
        <f>E17</f>
        <v>31.2g</v>
      </c>
      <c r="L42" s="25">
        <f>AVERAGE(N17,X17,AH17,AR17,BB17)</f>
        <v>5.7219794662816295</v>
      </c>
      <c r="M42" s="26">
        <f>STDEV(N17,X17,AH17,AR17,BB17)</f>
        <v>4.0023186107154052</v>
      </c>
      <c r="N42">
        <v>31.2</v>
      </c>
      <c r="P42">
        <f>N42</f>
        <v>31.2</v>
      </c>
      <c r="Q42">
        <f t="shared" si="0"/>
        <v>5.7219794662816295</v>
      </c>
      <c r="R42">
        <f t="shared" si="0"/>
        <v>4.0023186107154052</v>
      </c>
      <c r="S42">
        <f>Q42+R42</f>
        <v>9.7242980769970337</v>
      </c>
      <c r="T42">
        <f>Q42-R42</f>
        <v>1.7196608555662243</v>
      </c>
      <c r="U42">
        <f>P42+VALUE(SUBSTITUTE($C$8,"g",""))</f>
        <v>31.3</v>
      </c>
      <c r="V42">
        <f>P42-VALUE(SUBSTITUTE($C$8,"g",""))</f>
        <v>31.099999999999998</v>
      </c>
      <c r="X42">
        <f>V42</f>
        <v>31.099999999999998</v>
      </c>
      <c r="Y42">
        <f>U42</f>
        <v>31.3</v>
      </c>
      <c r="Z42">
        <f>Q42</f>
        <v>5.7219794662816295</v>
      </c>
      <c r="AA42">
        <f>Z42</f>
        <v>5.7219794662816295</v>
      </c>
    </row>
    <row r="43" spans="10:27" ht="15" thickBot="1" x14ac:dyDescent="0.4">
      <c r="J43" s="21">
        <v>5</v>
      </c>
      <c r="K43" s="27" t="str">
        <f>E16</f>
        <v>???</v>
      </c>
      <c r="L43" s="28">
        <f>AVERAGE(N16,X16,AH16,AR16,BB16)</f>
        <v>5.7170115468072176</v>
      </c>
      <c r="M43" s="29">
        <f>STDEV(N16,X16,AH16,AR16,BB16)</f>
        <v>3.9559812674216008</v>
      </c>
      <c r="N43">
        <v>31.2</v>
      </c>
    </row>
  </sheetData>
  <mergeCells count="10">
    <mergeCell ref="AT11:BC11"/>
    <mergeCell ref="N21:R21"/>
    <mergeCell ref="V21:Z21"/>
    <mergeCell ref="AD21:AH21"/>
    <mergeCell ref="AL21:AP21"/>
    <mergeCell ref="J37:M37"/>
    <mergeCell ref="F11:O11"/>
    <mergeCell ref="P11:Y11"/>
    <mergeCell ref="Z11:AI11"/>
    <mergeCell ref="AJ11:AS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reel reegan</dc:creator>
  <cp:lastModifiedBy>reel reegan</cp:lastModifiedBy>
  <dcterms:created xsi:type="dcterms:W3CDTF">2026-05-15T03:26:45Z</dcterms:created>
  <dcterms:modified xsi:type="dcterms:W3CDTF">2026-05-16T07:03:24Z</dcterms:modified>
</cp:coreProperties>
</file>